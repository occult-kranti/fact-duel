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Ledger" sheetId="2" state="visible" r:id="rId4"/>
    <sheet name="By year" sheetId="3" state="visible" r:id="rId5"/>
  </sheets>
  <definedNames>
    <definedName function="false" hidden="true" localSheetId="1" name="_xlnm._FilterDatabase" vbProcedure="false">Ledger!$A$1:$Z$390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<sst xmlns="http://schemas.openxmlformats.org/spreadsheetml/2006/main" count="7598" uniqueCount="4288">
  <si>
    <t xml:space="preserve">HISAAB DO: Paisa Kahan Gaya? The money ledger, 2000–2026</t>
  </si>
  <si>
    <t xml:space="preserve">Facts as of</t>
  </si>
  <si>
    <t xml:space="preserve">September 2026 (the as-of month of the bank items behind the rows: 2026-09)</t>
  </si>
  <si>
    <t xml:space="preserve">Rows</t>
  </si>
  <si>
    <t xml:space="preserve">389 measures, one per row on the Ledger sheet (2000–2026)</t>
  </si>
  <si>
    <t xml:space="preserve">By level</t>
  </si>
  <si>
    <t xml:space="preserve">Centre 128, State 261</t>
  </si>
  <si>
    <t xml:space="preserve">By mode</t>
  </si>
  <si>
    <t xml:space="preserve">Seedha Khaate Mein (distribution) 137, Rahat Kosh (relief) 95, Chunav Se Pehle (pre-election) 157</t>
  </si>
  <si>
    <t xml:space="preserve">Before a poll</t>
  </si>
  <si>
    <t xml:space="preserve">164 rows name the election they preceded; 137 of them record the gap in days</t>
  </si>
  <si>
    <t xml:space="preserve">In the app</t>
  </si>
  <si>
    <t xml:space="preserve">https://occult-kranti.github.io/fact-duel/hisaab/#/money/ledger</t>
  </si>
  <si>
    <t xml:space="preserve">Corrections</t>
  </si>
  <si>
    <t xml:space="preserve">Report an error from the app's Rules &amp; Sources page: https://occult-kranti.github.io/fact-duel/hisaab/#/rules</t>
  </si>
  <si>
    <t xml:space="preserve">About this file</t>
  </si>
  <si>
    <t xml:space="preserve">What it is</t>
  </si>
  <si>
    <t xml:space="preserve">One row per measure that handed out public money directly between 2000 and 2026: cash and in-kind transfers, relief funds and disaster money, and the budgets, bills and notifications announced before an election. For each: who announced or passed it, which party governed, the benefit, reach and cost, the poll it preceded with the gap in days and the official result, and what happened next.</t>
  </si>
  <si>
    <t xml:space="preserve">Sources</t>
  </si>
  <si>
    <t xml:space="preserve">Every row carries its own source: source_label ("Publisher — title (date)") and source_url, a page that was fetched and states the core fact. Each row is built from HISAAB DO question-bank items (bank_items), which were fact-checked against fetched pages under the edition's charter; the ledger adds no new research, and every number in a row appears in its own items. The lanes worked from Union budget speeches and Economic Surveys (indiabudget.gov.in), PRS Legislative Research budget analyses, Finance Commission reports, the Rajya Sabha Standing Committee on Home Affairs (261st report, Disaster Management), PIB and PMO releases, CAG audits (read through reports of their tabling), court records (Indian Kanoon, LiveLaw), peer-reviewed studies, and news reports. Election results are the official results as the bank states them (ECI figures, through the cited outlet).</t>
  </si>
  <si>
    <t xml:space="preserve">Source hosts</t>
  </si>
  <si>
    <t xml:space="preserve">Most cited first: indianexpress.com 61, thehindu.com 46, timesofindia.indiatimes.com 44, indiabudget.gov.in 31, newindianexpress.com 27, frontline.thehindu.com 24, prsindia.org 22, hindustantimes.com 15, pmindia.gov.in 11, indiatoday.in 10, rediff.com 9, business-standard.com 8; 51 hosts in all.</t>
  </si>
  <si>
    <t xml:space="preserve">How to read it</t>
  </si>
  <si>
    <t xml:space="preserve">governing_party is who governed at that level when the measure came (NDA or UPA for the Centre); it is not a verdict, and the counts reflect what the bank covers, not which party spends more. Costs carry their own qualifiers and are not comparable across rows: do not sum them. The two package rows (Karnataka's five guarantees, Telangana's six) overlap the rows of their parts. A "yes" in launched_is_approximate means "active by", not "launched in".</t>
  </si>
  <si>
    <t xml:space="preserve">Timing, not cause</t>
  </si>
  <si>
    <t xml:space="preserve">days_before_poll and poll_result record when a measure came and what the official result was. They do not show that the measure changed the result, and no row claims what caused an election result. Words such as "freebie" or "revdi" appear only where a row quotes whoever said them.</t>
  </si>
  <si>
    <t xml:space="preserve">Sheets</t>
  </si>
  <si>
    <t xml:space="preserve">Ledger: the rows (filter and sort freely). By year: measures per launch year by mode and level, as COUNTIFS formulas over the Ledger sheet. README: this sheet.</t>
  </si>
  <si>
    <t xml:space="preserve">Column</t>
  </si>
  <si>
    <t xml:space="preserve">Meaning</t>
  </si>
  <si>
    <t xml:space="preserve">id</t>
  </si>
  <si>
    <t xml:space="preserve">Stable id of the measure: &lt;state code&gt;-&lt;measure&gt;-&lt;year&gt;.</t>
  </si>
  <si>
    <t xml:space="preserve">launched</t>
  </si>
  <si>
    <t xml:space="preserve">When the measure was announced, launched or first paid, as the bank dates it (YYYY or YYYY-MM).</t>
  </si>
  <si>
    <t xml:space="preserve">launched_is_approximate</t>
  </si>
  <si>
    <t xml:space="preserve">"yes" when the bank gives no launch date: "launched" is then the earliest date it gives. Read it as "active by".</t>
  </si>
  <si>
    <t xml:space="preserve">year</t>
  </si>
  <si>
    <t xml:space="preserve">The launch year.</t>
  </si>
  <si>
    <t xml:space="preserve">measure</t>
  </si>
  <si>
    <t xml:space="preserve">Short name of the measure.</t>
  </si>
  <si>
    <t xml:space="preserve">mode</t>
  </si>
  <si>
    <t xml:space="preserve">The ledger's primary mode: distribution, relief or pre-election.</t>
  </si>
  <si>
    <t xml:space="preserve">mode_name</t>
  </si>
  <si>
    <t xml:space="preserve">The mode as the app names it.</t>
  </si>
  <si>
    <t xml:space="preserve">level</t>
  </si>
  <si>
    <t xml:space="preserve">Which government enacted it: Centre or State.</t>
  </si>
  <si>
    <t xml:space="preserve">state_code</t>
  </si>
  <si>
    <t xml:space="preserve">State code (IN = India-wide). A Union measure sited in one state carries that state.</t>
  </si>
  <si>
    <t xml:space="preserve">state</t>
  </si>
  <si>
    <t xml:space="preserve">State name.</t>
  </si>
  <si>
    <t xml:space="preserve">governing_party</t>
  </si>
  <si>
    <t xml:space="preserve">The party or coalition that governed at that level when the measure came (NDA or UPA for the Centre; the chief minister's party for a state coalition). Not a verdict.</t>
  </si>
  <si>
    <t xml:space="preserve">enacted_by</t>
  </si>
  <si>
    <t xml:space="preserve">Who announced, presented, launched or passed it: a public act, not an allegation. Empty when the bank names no one.</t>
  </si>
  <si>
    <t xml:space="preserve">benefit</t>
  </si>
  <si>
    <t xml:space="preserve">What was handed out or decided.</t>
  </si>
  <si>
    <t xml:space="preserve">reach</t>
  </si>
  <si>
    <t xml:space="preserve">How many people, families, accounts or items, with the bank's date or qualifier.</t>
  </si>
  <si>
    <t xml:space="preserve">cost</t>
  </si>
  <si>
    <t xml:space="preserve">The money, with its qualifier ("a year", "(2025-26)", "at launch", "in all"). Figures are not comparable across rows and must not be summed.</t>
  </si>
  <si>
    <t xml:space="preserve">poll</t>
  </si>
  <si>
    <t xml:space="preserve">The election the measure preceded, if a bank item ties it to one.</t>
  </si>
  <si>
    <t xml:space="preserve">poll_month</t>
  </si>
  <si>
    <t xml:space="preserve">Month of that poll (YYYY-MM).</t>
  </si>
  <si>
    <t xml:space="preserve">days_before_poll</t>
  </si>
  <si>
    <t xml:space="preserve">Days from the event the bank names (announcement, cabinet decision or first payment) to the first polling day. Empty when not recorded for this row. Timing only: it does not show cause.</t>
  </si>
  <si>
    <t xml:space="preserve">poll_result</t>
  </si>
  <si>
    <t xml:space="preserve">The official result as the bank states it (ECI figures, through the cited outlet).</t>
  </si>
  <si>
    <t xml:space="preserve">outcome</t>
  </si>
  <si>
    <t xml:space="preserve">What happened next: reach, cost, audits, later changes, and for pre-poll rows the result. Causes are named only when a cited study, survey or court says so.</t>
  </si>
  <si>
    <t xml:space="preserve">package_overlaps_parts</t>
  </si>
  <si>
    <t xml:space="preserve">"yes" for a bundle whose parts have rows of their own (Karnataka's five guarantees, Telangana's six); its costs overlap theirs.</t>
  </si>
  <si>
    <t xml:space="preserve">tags</t>
  </si>
  <si>
    <t xml:space="preserve">Every money-trail mode the row's bank items carry.</t>
  </si>
  <si>
    <t xml:space="preserve">bank_items</t>
  </si>
  <si>
    <t xml:space="preserve">The HISAAB DO question-bank items the row is built from.</t>
  </si>
  <si>
    <t xml:space="preserve">play_links</t>
  </si>
  <si>
    <t xml:space="preserve">Each bank item as a playable question card in the app.</t>
  </si>
  <si>
    <t xml:space="preserve">source_label</t>
  </si>
  <si>
    <t xml:space="preserve">The row's source: "Publisher — title (date)".</t>
  </si>
  <si>
    <t xml:space="preserve">source_url</t>
  </si>
  <si>
    <t xml:space="preserve">A link to the fetched page that states the core fact.</t>
  </si>
  <si>
    <t xml:space="preserve">gj-drought-relief-2000</t>
  </si>
  <si>
    <t xml:space="preserve">2000</t>
  </si>
  <si>
    <t xml:space="preserve">Drought relief works (Gujarat)</t>
  </si>
  <si>
    <t xml:space="preserve">relief</t>
  </si>
  <si>
    <t xml:space="preserve">Rahat Kosh (the relief fund)</t>
  </si>
  <si>
    <t xml:space="preserve">State</t>
  </si>
  <si>
    <t xml:space="preserve">GJ</t>
  </si>
  <si>
    <t xml:space="preserve">Gujarat</t>
  </si>
  <si>
    <t xml:space="preserve">BJP</t>
  </si>
  <si>
    <t xml:space="preserve">₹10 a day per adult (₹5 per child) on relief works, capped at ₹1,000 a month per family</t>
  </si>
  <si>
    <t xml:space="preserve">Five lakh people on 2,500 works; 9,421 villages declared drought-hit</t>
  </si>
  <si>
    <t xml:space="preserve">Frontline judged the cash relief insufficient; 2.5 crore people were affected and kharif losses put at ₹4,250 crore.</t>
  </si>
  <si>
    <t xml:space="preserve">hrf201</t>
  </si>
  <si>
    <t xml:space="preserve">https://occult-kranti.github.io/fact-duel/hisaab/#/q/hrf201</t>
  </si>
  <si>
    <t xml:space="preserve">Frontline — Gujarat's thirst (13 May 2000)</t>
  </si>
  <si>
    <t xml:space="preserve">https://frontline.thehindu.com/environment/article30253968.ece</t>
  </si>
  <si>
    <t xml:space="preserve">in-11th-fc-calamity-relief-fund-2000</t>
  </si>
  <si>
    <t xml:space="preserve">Calamity Relief Fund, 2000–05 (11th Finance Commission)</t>
  </si>
  <si>
    <t xml:space="preserve">Centre</t>
  </si>
  <si>
    <t xml:space="preserve">IN</t>
  </si>
  <si>
    <t xml:space="preserve">India-wide (Centre)</t>
  </si>
  <si>
    <t xml:space="preserve">NDA</t>
  </si>
  <si>
    <t xml:space="preserve">State calamity funds for cyclone, drought, earthquake, fire, flood and hailstorm, paid 75:25 by Centre and states</t>
  </si>
  <si>
    <t xml:space="preserve">₹11,007.59 crore over five years (Centre ₹8,255.69 crore)</t>
  </si>
  <si>
    <t xml:space="preserve">About 75% bigger than the 1995–2000 fund; UP’s five-year share was ₹987 crore and Goa’s under ₹7 crore.</t>
  </si>
  <si>
    <t xml:space="preserve">hrf200</t>
  </si>
  <si>
    <t xml:space="preserve">https://occult-kranti.github.io/fact-duel/hisaab/#/q/hrf200</t>
  </si>
  <si>
    <t xml:space="preserve">Finance Commission of India — Report of the Eleventh Finance Commission, ch. IX and Annexure IX.1 (2000)</t>
  </si>
  <si>
    <t xml:space="preserve">https://fincomindia.nic.in/asset/doc/commission-reports/11th-FC/11threport.pdf</t>
  </si>
  <si>
    <t xml:space="preserve">in-nccf-2000</t>
  </si>
  <si>
    <t xml:space="preserve">National Calamity Contingency Fund</t>
  </si>
  <si>
    <t xml:space="preserve">A national fund for severe calamities, replacing an exhausted one, refilled by a surcharge on central taxes</t>
  </si>
  <si>
    <t xml:space="preserve">₹500 crore initial corpus</t>
  </si>
  <si>
    <t xml:space="preserve">Sent ₹500 crore to quake-hit Gujarat in 2001 and ₹1,018 crore for the 2002 drought; folded into the NDRF from 2010-11.</t>
  </si>
  <si>
    <t xml:space="preserve">hrf001</t>
  </si>
  <si>
    <t xml:space="preserve">https://occult-kranti.github.io/fact-duel/hisaab/#/q/hrf001</t>
  </si>
  <si>
    <t xml:space="preserve">Rajya Sabha Standing Committee on Home Affairs — 261st Report: Disaster Management (presented 7 Aug 2026), para 2.13.4</t>
  </si>
  <si>
    <t xml:space="preserve">https://bucketapi.rajyasabha.digital/public-bucket/uploads/committee/2026_08_21_committee_3339_976_6a881941b462a.pdf</t>
  </si>
  <si>
    <t xml:space="preserve">kl-treasury-curbs-2001</t>
  </si>
  <si>
    <t xml:space="preserve">yes</t>
  </si>
  <si>
    <t xml:space="preserve">Treasury curbs before the 2001 poll (Kerala)</t>
  </si>
  <si>
    <t xml:space="preserve">pre-election</t>
  </si>
  <si>
    <t xml:space="preserve">Chunav Se Pehle (before the vote)</t>
  </si>
  <si>
    <t xml:space="preserve">KL</t>
  </si>
  <si>
    <t xml:space="preserve">Kerala</t>
  </si>
  <si>
    <t xml:space="preserve">LDF</t>
  </si>
  <si>
    <t xml:space="preserve">Curbs on even routine treasury transactions for six months, with debt near ₹21,000 crore</t>
  </si>
  <si>
    <t xml:space="preserve">Kerala Assembly 2001</t>
  </si>
  <si>
    <t xml:space="preserve">2001-05</t>
  </si>
  <si>
    <t xml:space="preserve">UDF won 99 of 140 seats; LDF 40</t>
  </si>
  <si>
    <t xml:space="preserve">The UDF won 99 of 140 seats; the LDF fell to 40.</t>
  </si>
  <si>
    <t xml:space="preserve">hpe200</t>
  </si>
  <si>
    <t xml:space="preserve">https://occult-kranti.github.io/fact-duel/hisaab/#/q/hpe200</t>
  </si>
  <si>
    <t xml:space="preserve">Frontline — A record of sorts (26 May 2001)</t>
  </si>
  <si>
    <t xml:space="preserve">https://frontline.thehindu.com/politics/article30250696.ece</t>
  </si>
  <si>
    <t xml:space="preserve">in-janashree-bima-2000</t>
  </si>
  <si>
    <t xml:space="preserve">2000-02</t>
  </si>
  <si>
    <t xml:space="preserve">Janashree Bima Yojana</t>
  </si>
  <si>
    <t xml:space="preserve">distribution</t>
  </si>
  <si>
    <t xml:space="preserve">Seedha Khaate Mein (straight into the account)</t>
  </si>
  <si>
    <t xml:space="preserve">Yashwant Sinha (Union Finance Minister, BJP)</t>
  </si>
  <si>
    <t xml:space="preserve">Group insurance for the poor: ₹20,000 natural death, ₹50,000 accidental death; BPL members pay half</t>
  </si>
  <si>
    <t xml:space="preserve">289.94 lakh lives covered by Dec 2012</t>
  </si>
  <si>
    <t xml:space="preserve">Merged into the Aam Admi Bima Yojana (launched 2007).</t>
  </si>
  <si>
    <t xml:space="preserve">hdb400</t>
  </si>
  <si>
    <t xml:space="preserve">https://occult-kranti.github.io/fact-duel/hisaab/#/q/hdb400</t>
  </si>
  <si>
    <t xml:space="preserve">Ministry of Finance — Union Budget 2000-01 speech, Part A: Social Security for the Poor (2000)</t>
  </si>
  <si>
    <t xml:space="preserve">https://www.indiabudget.gov.in/budget_archive/ub2000-01/bs/bsa5.htm</t>
  </si>
  <si>
    <t xml:space="preserve">in-antyodaya-anna-yojana-2000</t>
  </si>
  <si>
    <t xml:space="preserve">2000-12</t>
  </si>
  <si>
    <t xml:space="preserve">Antyodaya Anna Yojana</t>
  </si>
  <si>
    <t xml:space="preserve">Atal Bihari Vajpayee (Prime Minister, BJP)</t>
  </si>
  <si>
    <t xml:space="preserve">Wheat at ₹2 and rice at ₹3 a kg for the poorest families; 35 kg a month from April 2002</t>
  </si>
  <si>
    <t xml:space="preserve">1 crore families at launch; 2.5 crore by May 2005</t>
  </si>
  <si>
    <t xml:space="preserve">The flat 35 kg carried into the 2013 food law; a 2026 draft bill would switch to 7 kg a person, capped at 35 kg.</t>
  </si>
  <si>
    <t xml:space="preserve">hdb001; hdb045</t>
  </si>
  <si>
    <t xml:space="preserve">https://occult-kranti.github.io/fact-duel/hisaab/#/q/hdb001 https://occult-kranti.github.io/fact-duel/hisaab/#/q/hdb045</t>
  </si>
  <si>
    <t xml:space="preserve">Dept of Food &amp; Public Distribution, NFSA portal — Public Distribution System: Antyodaya Anna Yojana (accessed Sep 2026)</t>
  </si>
  <si>
    <t xml:space="preserve">https://nfsa.gov.in/portal/PDS_page</t>
  </si>
  <si>
    <t xml:space="preserve">od-cyclone-shelters-2001</t>
  </si>
  <si>
    <t xml:space="preserve">2001</t>
  </si>
  <si>
    <t xml:space="preserve">Cyclone shelters after the 1999 super cyclone</t>
  </si>
  <si>
    <t xml:space="preserve">OD</t>
  </si>
  <si>
    <t xml:space="preserve">Odisha</t>
  </si>
  <si>
    <t xml:space="preserve">BJD</t>
  </si>
  <si>
    <t xml:space="preserve">Cyclone shelters for coastal Orissa: 512 needed, money allocated for 240</t>
  </si>
  <si>
    <t xml:space="preserve">Only 23 stood in March 2001 and work on 489 had not begun (Frontline).</t>
  </si>
  <si>
    <t xml:space="preserve">hrf101</t>
  </si>
  <si>
    <t xml:space="preserve">https://occult-kranti.github.io/fact-duel/hisaab/#/q/hrf101</t>
  </si>
  <si>
    <t xml:space="preserve">Frontline — Some lessons from Orissa (3 Mar 2001)</t>
  </si>
  <si>
    <t xml:space="preserve">https://frontline.thehindu.com/other/article30249961.ece</t>
  </si>
  <si>
    <t xml:space="preserve">od-mission-shakti-2001</t>
  </si>
  <si>
    <t xml:space="preserve">Mission Shakti (Odisha)</t>
  </si>
  <si>
    <t xml:space="preserve">Naveen Patnaik (Chief Minister, Odisha, BJD)</t>
  </si>
  <si>
    <t xml:space="preserve">Women’s self-help groups: 0% loans up to ₹3 lakh, interest subvention</t>
  </si>
  <si>
    <t xml:space="preserve">Over six lakh SHGs, 70 lakh women</t>
  </si>
  <si>
    <t xml:space="preserve">About ₹200 crore a year in interest subvention</t>
  </si>
  <si>
    <t xml:space="preserve">Bank credit to SHGs rose from ₹1,036 crore (2016-17) to ₹4,190 crore (2020-21).</t>
  </si>
  <si>
    <t xml:space="preserve">hdb312</t>
  </si>
  <si>
    <t xml:space="preserve">https://occult-kranti.github.io/fact-duel/hisaab/#/q/hdb312</t>
  </si>
  <si>
    <t xml:space="preserve">The Hindu — Behind the BJD's electoral successes in Odisha are women SHGs (17 Oct 2022)</t>
  </si>
  <si>
    <t xml:space="preserve">https://www.thehindu.com/news/national/other-states/behind-the-bjds-electoral-successes-in-odisha-are-women-shgs/article66022675.ece</t>
  </si>
  <si>
    <t xml:space="preserve">gj-kutch-earthquake-doles-2001</t>
  </si>
  <si>
    <t xml:space="preserve">2001-01</t>
  </si>
  <si>
    <t xml:space="preserve">Kutch earthquake cash doles</t>
  </si>
  <si>
    <t xml:space="preserve">Keshubhai Patel (Chief Minister, Gujarat, BJP)</t>
  </si>
  <si>
    <t xml:space="preserve">Cash doles for survivors and a promised room for each of eight lakh uprooted families</t>
  </si>
  <si>
    <t xml:space="preserve">India Today counted 11 orders on doles in 10 days; Frontline called the relief the government’s most striking failure. Patel was replaced in Oct 2001.</t>
  </si>
  <si>
    <t xml:space="preserve">hrf100</t>
  </si>
  <si>
    <t xml:space="preserve">https://occult-kranti.github.io/fact-duel/hisaab/#/q/hrf100</t>
  </si>
  <si>
    <t xml:space="preserve">India Today — Leader in paralysis (5 Mar 2001)</t>
  </si>
  <si>
    <t xml:space="preserve">https://www.indiatoday.in/magazine/states/story/20010305-gujarat-cm-keshubhai-patel-fitness-to-rule-grows-after-failure-to-provide-quake-relief-775615-2001-03-04</t>
  </si>
  <si>
    <t xml:space="preserve">in-nccd-2001</t>
  </si>
  <si>
    <t xml:space="preserve">2001-02</t>
  </si>
  <si>
    <t xml:space="preserve">National Calamity Contingent Duty</t>
  </si>
  <si>
    <t xml:space="preserve">A special excise levy on tobacco to refill the national calamity fund, plus a 2% surcharge for Gujarat quake relief</t>
  </si>
  <si>
    <t xml:space="preserve">Still on the books in 2026: Finance Bill 2026 raised its schedule rate on chewing tobacco from 25% to 60%.</t>
  </si>
  <si>
    <t xml:space="preserve">hrf002</t>
  </si>
  <si>
    <t xml:space="preserve">https://occult-kranti.github.io/fact-duel/hisaab/#/q/hrf002</t>
  </si>
  <si>
    <t xml:space="preserve">indiabudget.gov.in — Memorandum explaining the provisions in the Finance Bill, 2026 (Feb 2026)</t>
  </si>
  <si>
    <t xml:space="preserve">https://www.indiabudget.gov.in/doc/memo.pdf</t>
  </si>
  <si>
    <t xml:space="preserve">in-sgry-2001</t>
  </si>
  <si>
    <t xml:space="preserve">2001-09</t>
  </si>
  <si>
    <t xml:space="preserve">Sampoorna Grameen Rozgar Yojana</t>
  </si>
  <si>
    <t xml:space="preserve">Rural wage work paid partly in free grain, merging two earlier schemes</t>
  </si>
  <si>
    <t xml:space="preserve">50 lakh tonnes of grain allocated for year one</t>
  </si>
  <si>
    <t xml:space="preserve">30.6 lakh tonnes had been authorised for release by the 2002-03 budget; grain off-take rose sharply in the 2002 drought.</t>
  </si>
  <si>
    <t xml:space="preserve">hdb401</t>
  </si>
  <si>
    <t xml:space="preserve">https://occult-kranti.github.io/fact-duel/hisaab/#/q/hdb401</t>
  </si>
  <si>
    <t xml:space="preserve">Ministry of Finance — Union Budget 2002-03 speech, Part A (2002)</t>
  </si>
  <si>
    <t xml:space="preserve">https://www.indiabudget.gov.in/budget_archive/ub2002-03/bs/speech_a.htm</t>
  </si>
  <si>
    <t xml:space="preserve">in-mid-day-meals-order-2001</t>
  </si>
  <si>
    <t xml:space="preserve">2001-11</t>
  </si>
  <si>
    <t xml:space="preserve">Cooked mid-day meals ordered (PUCL case)</t>
  </si>
  <si>
    <t xml:space="preserve">Supreme Court directed every state to serve cooked mid-day meals in primary schools within six months</t>
  </si>
  <si>
    <t xml:space="preserve">Compliance lagged: in August 2002 Frontline reported Jharkhand had still not complied.</t>
  </si>
  <si>
    <t xml:space="preserve">hdb002</t>
  </si>
  <si>
    <t xml:space="preserve">https://occult-kranti.github.io/fact-duel/hisaab/#/q/hdb002</t>
  </si>
  <si>
    <t xml:space="preserve">Frontline — Starving still in Jharkhand (3 Aug 2002)</t>
  </si>
  <si>
    <t xml:space="preserve">https://frontline.thehindu.com/other/article30245718.ece</t>
  </si>
  <si>
    <t xml:space="preserve">ap-drought-relief-rice-2002</t>
  </si>
  <si>
    <t xml:space="preserve">2002</t>
  </si>
  <si>
    <t xml:space="preserve">Drought relief rice under SGRY (Andhra Pradesh)</t>
  </si>
  <si>
    <t xml:space="preserve">AP</t>
  </si>
  <si>
    <t xml:space="preserve">Andhra Pradesh</t>
  </si>
  <si>
    <t xml:space="preserve">TDP</t>
  </si>
  <si>
    <t xml:space="preserve">State sought 2.5 million tonnes of rice for drought relief work and ₹2,373.44 crore from the NCCF</t>
  </si>
  <si>
    <t xml:space="preserve">1.38 crore farm labourers lost work (govt estimate)</t>
  </si>
  <si>
    <t xml:space="preserve">Only 0.5 million tonnes had been released by May 2003, Frontline reported.</t>
  </si>
  <si>
    <t xml:space="preserve">hrf102</t>
  </si>
  <si>
    <t xml:space="preserve">https://occult-kranti.github.io/fact-duel/hisaab/#/q/hrf102</t>
  </si>
  <si>
    <t xml:space="preserve">Frontline — Elusive relief in Andhra Pradesh (23 May 2003)</t>
  </si>
  <si>
    <t xml:space="preserve">https://frontline.thehindu.com/the-nation/article30217066.ece</t>
  </si>
  <si>
    <t xml:space="preserve">ga-dayanand-social-security-2002</t>
  </si>
  <si>
    <t xml:space="preserve">Dayanand Social Security Scheme</t>
  </si>
  <si>
    <t xml:space="preserve">GA</t>
  </si>
  <si>
    <t xml:space="preserve">Goa</t>
  </si>
  <si>
    <t xml:space="preserve">Manohar Parrikar (Chief Minister, Goa, BJP)</t>
  </si>
  <si>
    <t xml:space="preserve">Monthly pension for senior citizens (₹2,000 + ₹500 medical in 2026); ₹4,000 for eligible widows</t>
  </si>
  <si>
    <t xml:space="preserve">With Griha Aadhar, close to 2.5 lakh people</t>
  </si>
  <si>
    <t xml:space="preserve">₹480 crore (2026-27 budget)</t>
  </si>
  <si>
    <t xml:space="preserve">In Sept 2026 the CM said it would rise by at least ₹500 a month; The Goan called it a ‘poll bonanza’ before 2027.</t>
  </si>
  <si>
    <t xml:space="preserve">hdb200</t>
  </si>
  <si>
    <t xml:space="preserve">https://occult-kranti.github.io/fact-duel/hisaab/#/q/hdb200</t>
  </si>
  <si>
    <t xml:space="preserve">The Goan — Another bonanza on cards: Govt to enhance DSSS, Griha Aadhar by Rs 500 (10 Sep 2026)</t>
  </si>
  <si>
    <t xml:space="preserve">https://www.thegoan.net/goa-news/another-bonanza-on-cards-govt-to-enhance-dsss-griha-aadhar-by-rs-500/153962.html</t>
  </si>
  <si>
    <t xml:space="preserve">in-drought-relief-2002</t>
  </si>
  <si>
    <t xml:space="preserve">Drought relief 2002</t>
  </si>
  <si>
    <t xml:space="preserve">NCCF and early calamity-fund releases, free grain for relief work, fodder by rail; a Task Force under the Deputy PM</t>
  </si>
  <si>
    <t xml:space="preserve">₹1,018 crore from the NCCF; ₹1,227 crore CRF share; 27.74 lakh tonnes of free grain</t>
  </si>
  <si>
    <t xml:space="preserve">Grain off-take under welfare schemes rose to 5.48 million tonnes in Apr–Oct 2002 from 3.15 million a year earlier.</t>
  </si>
  <si>
    <t xml:space="preserve">hrf003; hrf004</t>
  </si>
  <si>
    <t xml:space="preserve">https://occult-kranti.github.io/fact-duel/hisaab/#/q/hrf003 https://occult-kranti.github.io/fact-duel/hisaab/#/q/hrf004</t>
  </si>
  <si>
    <t xml:space="preserve">Economic Survey 2002-03, ch. 8 (Agriculture) — Box 8.1: Drought relief measures</t>
  </si>
  <si>
    <t xml:space="preserve">https://www.indiabudget.gov.in/budget_archive/es2002-03/chapt2003/chap83.pdf</t>
  </si>
  <si>
    <t xml:space="preserve">mz-intodelhna-2002</t>
  </si>
  <si>
    <t xml:space="preserve">Mizoram Intodelhna Programme</t>
  </si>
  <si>
    <t xml:space="preserve">MZ</t>
  </si>
  <si>
    <t xml:space="preserve">Mizoram</t>
  </si>
  <si>
    <t xml:space="preserve">MNF</t>
  </si>
  <si>
    <t xml:space="preserve">Zoramthanga (Chief Minister, Mizoram, MNF)</t>
  </si>
  <si>
    <t xml:space="preserve">₹11,000 per beneficiary family, replacing the old land-use scheme</t>
  </si>
  <si>
    <t xml:space="preserve">53,288 families</t>
  </si>
  <si>
    <t xml:space="preserve">The MNF lost the 2008 election: the Congress won 32 of 40 on a new land-use promise.</t>
  </si>
  <si>
    <t xml:space="preserve">hdb324</t>
  </si>
  <si>
    <t xml:space="preserve">https://occult-kranti.github.io/fact-duel/hisaab/#/q/hdb324</t>
  </si>
  <si>
    <t xml:space="preserve">Frontline — Playing the Piper (27 Nov 2013)</t>
  </si>
  <si>
    <t xml:space="preserve">https://frontline.thehindu.com/politics/playing-the-piper/article5389646.ece</t>
  </si>
  <si>
    <t xml:space="preserve">rj-drought-relief-2002</t>
  </si>
  <si>
    <t xml:space="preserve">Drought relief works (Rajasthan, 2002–03)</t>
  </si>
  <si>
    <t xml:space="preserve">RJ</t>
  </si>
  <si>
    <t xml:space="preserve">Rajasthan</t>
  </si>
  <si>
    <t xml:space="preserve">INC</t>
  </si>
  <si>
    <t xml:space="preserve">Ashok Gehlot (Chief Minister, Rajasthan, INC)</t>
  </si>
  <si>
    <t xml:space="preserve">Relief work for vulnerable families (cut from 15 to 10 days a month); ₹60 daily wage claimed</t>
  </si>
  <si>
    <t xml:space="preserve">Centre paid ₹188.82 crore for 20.80 lakh BPL families; state need ₹1,530 crore</t>
  </si>
  <si>
    <t xml:space="preserve">Rajasthan Assembly 2003</t>
  </si>
  <si>
    <t xml:space="preserve">2003-12</t>
  </si>
  <si>
    <t xml:space="preserve">BJP won 120 of 200; Congress lost power</t>
  </si>
  <si>
    <t xml:space="preserve">Frontline found wages as low as ₹15 in places; the BJP won the December 2003 poll with 120 of 200 seats.</t>
  </si>
  <si>
    <t xml:space="preserve">pre-election; relief</t>
  </si>
  <si>
    <t xml:space="preserve">hrf103; hpe150</t>
  </si>
  <si>
    <t xml:space="preserve">https://occult-kranti.github.io/fact-duel/hisaab/#/q/hrf103 https://occult-kranti.github.io/fact-duel/hisaab/#/q/hpe150</t>
  </si>
  <si>
    <t xml:space="preserve">Frontline — From bad to worse in Rajasthan (9 May 2003)</t>
  </si>
  <si>
    <t xml:space="preserve">https://frontline.thehindu.com/the-nation/article30216871.ece</t>
  </si>
  <si>
    <t xml:space="preserve">hr-farm-power-dues-waiver-2002</t>
  </si>
  <si>
    <t xml:space="preserve">2002-04</t>
  </si>
  <si>
    <t xml:space="preserve">Farm power-dues waiver (Haryana)</t>
  </si>
  <si>
    <t xml:space="preserve">HR</t>
  </si>
  <si>
    <t xml:space="preserve">Haryana</t>
  </si>
  <si>
    <t xml:space="preserve">INLD</t>
  </si>
  <si>
    <t xml:space="preserve">Om Prakash Chautala (Chief Minister, Haryana, INLD)</t>
  </si>
  <si>
    <t xml:space="preserve">75% of each farmer’s pending power dues waived, after a full waiver was promised before the 2000 poll</t>
  </si>
  <si>
    <t xml:space="preserve">Farmers’ protests spread; police firings in May 2002 left three dead (Frontline).</t>
  </si>
  <si>
    <t xml:space="preserve">distribution; pre-election</t>
  </si>
  <si>
    <t xml:space="preserve">hpe100</t>
  </si>
  <si>
    <t xml:space="preserve">https://occult-kranti.github.io/fact-duel/hisaab/#/q/hpe100</t>
  </si>
  <si>
    <t xml:space="preserve">Frontline — Farmer power (8 Jun 2002)</t>
  </si>
  <si>
    <t xml:space="preserve">https://frontline.thehindu.com/other/article30245094.ece</t>
  </si>
  <si>
    <t xml:space="preserve">pb-free-farm-power-suspended-2002</t>
  </si>
  <si>
    <t xml:space="preserve">2002-10</t>
  </si>
  <si>
    <t xml:space="preserve">Free farm power suspended (Punjab)</t>
  </si>
  <si>
    <t xml:space="preserve">PB</t>
  </si>
  <si>
    <t xml:space="preserve">Punjab</t>
  </si>
  <si>
    <t xml:space="preserve">Amarinder Singh (Chief Minister, Punjab, INC)</t>
  </si>
  <si>
    <t xml:space="preserve">Free electricity for all farmers, extended in 1997, discontinued from October 2002</t>
  </si>
  <si>
    <t xml:space="preserve">₹7,715 crore for farm power subsidy (2026-27)</t>
  </si>
  <si>
    <t xml:space="preserve">Restored in November 2005 and unbroken since 2007.</t>
  </si>
  <si>
    <t xml:space="preserve">hdb100</t>
  </si>
  <si>
    <t xml:space="preserve">https://occult-kranti.github.io/fact-duel/hisaab/#/q/hdb100</t>
  </si>
  <si>
    <t xml:space="preserve">The Indian Express — Power subsidy to social security: Parkash Singh Badal, the architect of populist schemes (26 Apr 2023)</t>
  </si>
  <si>
    <t xml:space="preserve">https://indianexpress.com/article/cities/chandigarh/power-subsidy-social-security-architect-populist-schemes-8576206/</t>
  </si>
  <si>
    <t xml:space="preserve">mp-power-purchase-2003</t>
  </si>
  <si>
    <t xml:space="preserve">2003</t>
  </si>
  <si>
    <t xml:space="preserve">Power purchase before the 2003 poll (MP)</t>
  </si>
  <si>
    <t xml:space="preserve">MP</t>
  </si>
  <si>
    <t xml:space="preserve">Madhya Pradesh</t>
  </si>
  <si>
    <t xml:space="preserve">Digvijaya Singh (Chief Minister, Madhya Pradesh, INC)</t>
  </si>
  <si>
    <t xml:space="preserve">Electricity bought from other states amid a serious shortage</t>
  </si>
  <si>
    <t xml:space="preserve">₹40–60 crore</t>
  </si>
  <si>
    <t xml:space="preserve">Madhya Pradesh Assembly 2003</t>
  </si>
  <si>
    <t xml:space="preserve">BJP won 173 of 230 seats; Congress 38</t>
  </si>
  <si>
    <t xml:space="preserve">The BJP won 173 of 230 seats; the Congress fell to 38, ending ten years in power.</t>
  </si>
  <si>
    <t xml:space="preserve">hpe201</t>
  </si>
  <si>
    <t xml:space="preserve">https://occult-kranti.github.io/fact-duel/hisaab/#/q/hpe201</t>
  </si>
  <si>
    <t xml:space="preserve">Rediff — 'The power situation in MP is serious' (31 May 2003)</t>
  </si>
  <si>
    <t xml:space="preserve">https://www.rediff.com/news/interview/inter/20030531.htm</t>
  </si>
  <si>
    <t xml:space="preserve">tn-drought-aid-2003</t>
  </si>
  <si>
    <t xml:space="preserve">Drought aid demand (Tamil Nadu)</t>
  </si>
  <si>
    <t xml:space="preserve">TN</t>
  </si>
  <si>
    <t xml:space="preserve">Tamil Nadu</t>
  </si>
  <si>
    <t xml:space="preserve">AIADMK</t>
  </si>
  <si>
    <t xml:space="preserve">At least ₹2,027 crore and 9 lakh tonnes of rice sought from the Centre</t>
  </si>
  <si>
    <t xml:space="preserve">The Centre had given ₹228 crore by early 2003, per the Kisan Sabha; the state put crop losses at ₹5,388 crore.</t>
  </si>
  <si>
    <t xml:space="preserve">hrf104</t>
  </si>
  <si>
    <t xml:space="preserve">https://occult-kranti.github.io/fact-duel/hisaab/#/q/hrf104</t>
  </si>
  <si>
    <t xml:space="preserve">Frontline — A worsening drought (28 Feb 2003)</t>
  </si>
  <si>
    <t xml:space="preserve">https://frontline.thehindu.com/other/article30215779.ece</t>
  </si>
  <si>
    <t xml:space="preserve">in-antyodaya-expansion-2003</t>
  </si>
  <si>
    <t xml:space="preserve">2003-02</t>
  </si>
  <si>
    <t xml:space="preserve">Antyodaya expanded (Budget 2003-04)</t>
  </si>
  <si>
    <t xml:space="preserve">Jaswant Singh (Union Finance Minister, BJP)</t>
  </si>
  <si>
    <t xml:space="preserve">Antyodaya grain for 50 lakh more families from 1 April 2003</t>
  </si>
  <si>
    <t xml:space="preserve">₹507 crore extra</t>
  </si>
  <si>
    <t xml:space="preserve">AAY covered 1.5 crore families by early 2004.</t>
  </si>
  <si>
    <t xml:space="preserve">hdb003</t>
  </si>
  <si>
    <t xml:space="preserve">https://occult-kranti.github.io/fact-duel/hisaab/#/q/hdb003</t>
  </si>
  <si>
    <t xml:space="preserve">indiabudget.gov.in — Budget Speech 2003-04, Jaswant Singh (Feb 2003)</t>
  </si>
  <si>
    <t xml:space="preserve">https://www.indiabudget.gov.in/budget_archive/ub2003-04/bs/speecha.htm</t>
  </si>
  <si>
    <t xml:space="preserve">in-nccd-crude-2003</t>
  </si>
  <si>
    <t xml:space="preserve">Calamity duty on crude oil</t>
  </si>
  <si>
    <t xml:space="preserve">NCCD of ₹50 a tonne on crude and 1% on yarn and vehicles, ‘limited to one year only’, after the 2002 drought</t>
  </si>
  <si>
    <t xml:space="preserve">Still levied on domestic crude in January 2026, over two decades on; the oil industry asked for its removal.</t>
  </si>
  <si>
    <t xml:space="preserve">hrf005</t>
  </si>
  <si>
    <t xml:space="preserve">https://occult-kranti.github.io/fact-duel/hisaab/#/q/hrf005</t>
  </si>
  <si>
    <t xml:space="preserve">Economic Times — Budget 2026: Oil industry seeks abolition or review of OID cess (15 Jan 2026)</t>
  </si>
  <si>
    <t xml:space="preserve">https://economictimes.indiatimes.com/industry/energy/oil-gas/budget-2026-oil-industry-seeks-abolition-or-review-of-oid-cess-on-pre-nelp-and-nomination-blocks/articleshow/126545404.cms</t>
  </si>
  <si>
    <t xml:space="preserve">in-universal-health-insurance-2003</t>
  </si>
  <si>
    <t xml:space="preserve">Universal Health Insurance Scheme</t>
  </si>
  <si>
    <t xml:space="preserve">Hospital cover up to ₹30,000 for ₹1 a day; the Centre paid ₹100 a year of a BPL family’s premium</t>
  </si>
  <si>
    <t xml:space="preserve">Only 11,408 BPL families had joined by May 2004; the UPA limited it to BPL families and raised the subsidy.</t>
  </si>
  <si>
    <t xml:space="preserve">hdb004</t>
  </si>
  <si>
    <t xml:space="preserve">https://occult-kranti.github.io/fact-duel/hisaab/#/q/hdb004</t>
  </si>
  <si>
    <t xml:space="preserve">ap-mahanadu-farm-package-2003</t>
  </si>
  <si>
    <t xml:space="preserve">2003-05</t>
  </si>
  <si>
    <t xml:space="preserve">Naidu's Mahanadu farm package</t>
  </si>
  <si>
    <t xml:space="preserve">N. Chandrababu Naidu (Chief Minister, Andhra Pradesh, TDP)</t>
  </si>
  <si>
    <t xml:space="preserve">₹15,000 grant plus ₹2,500 micro-credit per farmer self-help group; interest waivers on drought-hit co-op loans</t>
  </si>
  <si>
    <t xml:space="preserve">₹250 crore interest waiver + ₹94 crore penal-interest waiver</t>
  </si>
  <si>
    <t xml:space="preserve">Andhra Pradesh Assembly 2004</t>
  </si>
  <si>
    <t xml:space="preserve">2004-04</t>
  </si>
  <si>
    <t xml:space="preserve">Congress won 185 of 294 seats; TDP 47</t>
  </si>
  <si>
    <t xml:space="preserve">Congress won 185 of 294 seats in April 2004; the TDP fell to 47.</t>
  </si>
  <si>
    <t xml:space="preserve">hdb201</t>
  </si>
  <si>
    <t xml:space="preserve">https://occult-kranti.github.io/fact-duel/hisaab/#/q/hdb201</t>
  </si>
  <si>
    <t xml:space="preserve">Times of India — Naidu's major sops for farmers (29 May 2003)</t>
  </si>
  <si>
    <t xml:space="preserve">https://timesofindia.indiatimes.com/city/hyderabad/naidus-major-sops-for-farmers/articleshow/47811599.cms</t>
  </si>
  <si>
    <t xml:space="preserve">ka-yeshasvini-2003</t>
  </si>
  <si>
    <t xml:space="preserve">2003-06</t>
  </si>
  <si>
    <t xml:space="preserve">Yeshasvini farmers’ health scheme</t>
  </si>
  <si>
    <t xml:space="preserve">KA</t>
  </si>
  <si>
    <t xml:space="preserve">Karnataka</t>
  </si>
  <si>
    <t xml:space="preserve">S.M. Krishna (Chief Minister, Karnataka, INC)</t>
  </si>
  <si>
    <t xml:space="preserve">Surgery at 74 listed hospitals for a ₹5-a-month premium</t>
  </si>
  <si>
    <t xml:space="preserve">250 surgeries in the first 27 days; ₹14.25 crore collected (TOI, June 2003).</t>
  </si>
  <si>
    <t xml:space="preserve">hdb402</t>
  </si>
  <si>
    <t xml:space="preserve">https://occult-kranti.github.io/fact-duel/hisaab/#/q/hdb402</t>
  </si>
  <si>
    <t xml:space="preserve">The Times of India — Krishna moots Yeshasvini scheme for other sectors (29 Jun 2003)</t>
  </si>
  <si>
    <t xml:space="preserve">https://timesofindia.indiatimes.com/city/bengaluru/krishna-moots-yeshasvini-scheme-for-other-sectors/articleshow/49404.cms</t>
  </si>
  <si>
    <t xml:space="preserve">in-india-shining-ads-2004</t>
  </si>
  <si>
    <t xml:space="preserve">2004</t>
  </si>
  <si>
    <t xml:space="preserve">‘India Shining’ government ads</t>
  </si>
  <si>
    <t xml:space="preserve">A government-funded advertising campaign</t>
  </si>
  <si>
    <t xml:space="preserve">₹65 crore</t>
  </si>
  <si>
    <t xml:space="preserve">Lok Sabha 2004</t>
  </si>
  <si>
    <t xml:space="preserve">INC 145, BJP 138 seats; the Congress-led UPA formed the government</t>
  </si>
  <si>
    <t xml:space="preserve">The EC barred its broadcast until polling ended; the NDA lost office (Congress 145, BJP 138).</t>
  </si>
  <si>
    <t xml:space="preserve">hpe001</t>
  </si>
  <si>
    <t xml:space="preserve">https://occult-kranti.github.io/fact-duel/hisaab/#/q/hpe001</t>
  </si>
  <si>
    <t xml:space="preserve">Rediff (Reuters) — The man behind 'India Shining' slogan (2 Apr 2004)</t>
  </si>
  <si>
    <t xml:space="preserve">https://www.rediff.com/business/special/shining/20040402.htm</t>
  </si>
  <si>
    <t xml:space="preserve">ka-farm-distress-compensation-2004</t>
  </si>
  <si>
    <t xml:space="preserve">Farm-distress compensation (Karnataka)</t>
  </si>
  <si>
    <t xml:space="preserve">₹1 lakh to families of indebted farmers who died by suicide</t>
  </si>
  <si>
    <t xml:space="preserve">Karnataka Assembly 2004</t>
  </si>
  <si>
    <t xml:space="preserve">Hung: BJP 79, Congress 65, JD(S) 58 of 224</t>
  </si>
  <si>
    <t xml:space="preserve">Barely 10% of needy families were paid, Frontline found; the poll gave a hung House (BJP 79, Congress 65, JD(S) 58).</t>
  </si>
  <si>
    <t xml:space="preserve">hpe102</t>
  </si>
  <si>
    <t xml:space="preserve">https://occult-kranti.github.io/fact-duel/hisaab/#/q/hpe102</t>
  </si>
  <si>
    <t xml:space="preserve">Frontline — The rural anger in Karnataka (18 Jun 2004)</t>
  </si>
  <si>
    <t xml:space="preserve">https://frontline.thehindu.com/cover-story/article30223009.ece</t>
  </si>
  <si>
    <t xml:space="preserve">in-mini-budget-2004</t>
  </si>
  <si>
    <t xml:space="preserve">2004-01</t>
  </si>
  <si>
    <t xml:space="preserve">Jaswant Singh’s ‘mini-budget’</t>
  </si>
  <si>
    <t xml:space="preserve">Customs cuts on phones, IT and electronics; travel tax abolished</t>
  </si>
  <si>
    <t xml:space="preserve">Polling began 103 days later; the NDA lost office as the Congress won 145 seats to the BJP’s 138.</t>
  </si>
  <si>
    <t xml:space="preserve">hpe002</t>
  </si>
  <si>
    <t xml:space="preserve">https://occult-kranti.github.io/fact-duel/hisaab/#/q/hpe002</t>
  </si>
  <si>
    <t xml:space="preserve">Rediff — Markets likely to zoom up on Friday (8 Jan 2004)</t>
  </si>
  <si>
    <t xml:space="preserve">https://www.rediff.com/business/report/bud12/20040108.htm</t>
  </si>
  <si>
    <t xml:space="preserve">in-antyodaya-expansion-2004</t>
  </si>
  <si>
    <t xml:space="preserve">2004-02</t>
  </si>
  <si>
    <t xml:space="preserve">Antyodaya expanded to 2 crore families (interim budget)</t>
  </si>
  <si>
    <t xml:space="preserve">Antyodaya extended to 2 crore BPL families from 1 April 2004</t>
  </si>
  <si>
    <t xml:space="preserve">The NDA lost the poll; the UPA kept the expansion (subsidy near ₹3,500 crore) and took AAY to 2.5 crore households in 2005.</t>
  </si>
  <si>
    <t xml:space="preserve">hdb005</t>
  </si>
  <si>
    <t xml:space="preserve">https://occult-kranti.github.io/fact-duel/hisaab/#/q/hdb005</t>
  </si>
  <si>
    <t xml:space="preserve">indiabudget.gov.in — Interim Budget Speech 2004-05, Jaswant Singh (3 Feb 2004)</t>
  </si>
  <si>
    <t xml:space="preserve">https://www.indiabudget.gov.in/budget_archive/ub2004-05(I)/bs/speecha.htm</t>
  </si>
  <si>
    <t xml:space="preserve">in-da-merger-2004</t>
  </si>
  <si>
    <t xml:space="preserve">DA merged into basic pay (interim budget)</t>
  </si>
  <si>
    <t xml:space="preserve">Dearness allowance up to 50% of pay merged into basic pay for central staff; ₹25,000 crore defence fund</t>
  </si>
  <si>
    <t xml:space="preserve">Polling began 77 days later; the NDA left office.</t>
  </si>
  <si>
    <t xml:space="preserve">hpe003</t>
  </si>
  <si>
    <t xml:space="preserve">https://occult-kranti.github.io/fact-duel/hisaab/#/q/hpe003</t>
  </si>
  <si>
    <t xml:space="preserve">indiabudget.gov.in — Interim Budget 2004-05 speech, Jaswant Singh (3 Feb 2004)</t>
  </si>
  <si>
    <t xml:space="preserve">in-farm-income-insurance-2004</t>
  </si>
  <si>
    <t xml:space="preserve">Farm Income Insurance Scheme extended</t>
  </si>
  <si>
    <t xml:space="preserve">Pilot extended from 20 to 100 districts; Kisan Credit Cards for all eligible farmers</t>
  </si>
  <si>
    <t xml:space="preserve">The pilot was discontinued in 2004 after the NDA lost the poll.</t>
  </si>
  <si>
    <t xml:space="preserve">hpe005</t>
  </si>
  <si>
    <t xml:space="preserve">https://occult-kranti.github.io/fact-duel/hisaab/#/q/hpe005</t>
  </si>
  <si>
    <t xml:space="preserve">in-pmssy-aiims-2004</t>
  </si>
  <si>
    <t xml:space="preserve">Six AIIMS-like hospitals (PMSSY)</t>
  </si>
  <si>
    <t xml:space="preserve">Atal Bihari Vajpayee (Prime Minister, BJP); Jaswant Singh (Union Finance Minister, BJP)</t>
  </si>
  <si>
    <t xml:space="preserve">Six AIIMS-like institutes at Bhopal, Bhubaneswar, Jodhpur, Patna, Raipur and Rishikesh</t>
  </si>
  <si>
    <t xml:space="preserve">The UPA Cabinet approved them in 2006 and MBBS classes began in 2012; a 2019 CAG report found infrastructure still pending.</t>
  </si>
  <si>
    <t xml:space="preserve">hpe004</t>
  </si>
  <si>
    <t xml:space="preserve">https://occult-kranti.github.io/fact-duel/hisaab/#/q/hpe004</t>
  </si>
  <si>
    <t xml:space="preserve">Alt News — Did UPA govt build only one AIIMS during their tenure? (25 Apr 2021)</t>
  </si>
  <si>
    <t xml:space="preserve">https://www.altnews.in/did-upa-govt-build-only-one-aiims-institute-during-their-tenure-false-claim-viral/</t>
  </si>
  <si>
    <t xml:space="preserve">ap-free-farm-power-2004</t>
  </si>
  <si>
    <t xml:space="preserve">2004-05</t>
  </si>
  <si>
    <t xml:space="preserve">Free farm power and bill waiver (Andhra Pradesh)</t>
  </si>
  <si>
    <t xml:space="preserve">Y.S. Rajasekhara Reddy (Chief Minister, Andhra Pradesh, INC)</t>
  </si>
  <si>
    <t xml:space="preserve">Free power for all farmers plus a waiver of unpaid farm power bills, signed on oath day</t>
  </si>
  <si>
    <t xml:space="preserve">Up to ₹436 crore in 2004-05, plus ₹1,192 crore of waived dues</t>
  </si>
  <si>
    <t xml:space="preserve">YSR said free power would continue while the Congress held office; the Congress was re-elected in 2009 with 156 of 294 seats.</t>
  </si>
  <si>
    <t xml:space="preserve">hdb202</t>
  </si>
  <si>
    <t xml:space="preserve">https://occult-kranti.github.io/fact-duel/hisaab/#/q/hdb202</t>
  </si>
  <si>
    <t xml:space="preserve">Times of India — Farmers to get free power (15 May 2004)</t>
  </si>
  <si>
    <t xml:space="preserve">https://timesofindia.indiatimes.com/city/hyderabad/farmers-to-get-free-power/articleshow/676611.cms</t>
  </si>
  <si>
    <t xml:space="preserve">tn-power-tariff-rollback-2004</t>
  </si>
  <si>
    <t xml:space="preserve">Domestic power tariff rollback (Tamil Nadu)</t>
  </si>
  <si>
    <t xml:space="preserve">J. Jayalalithaa (Chief Minister, Tamil Nadu, AIADMK)</t>
  </si>
  <si>
    <t xml:space="preserve">Household power bills cut back to December 2001 rates</t>
  </si>
  <si>
    <t xml:space="preserve">Nearly 1.2 crore families</t>
  </si>
  <si>
    <t xml:space="preserve">₹910 crore a year</t>
  </si>
  <si>
    <t xml:space="preserve">Came weeks after the DMK-led alliance swept all 39 Lok Sabha seats; paid to the TNEB as a budget subsidy.</t>
  </si>
  <si>
    <t xml:space="preserve">hdb204</t>
  </si>
  <si>
    <t xml:space="preserve">https://occult-kranti.github.io/fact-duel/hisaab/#/q/hdb204</t>
  </si>
  <si>
    <t xml:space="preserve">Times of India — Jaya on a roll: Power rates go back 2 yrs (1 Jun 2004)</t>
  </si>
  <si>
    <t xml:space="preserve">https://timesofindia.indiatimes.com/india/jaya-on-a-roll-power-rates-go-back-2-yrs/articleshow/711517.cms</t>
  </si>
  <si>
    <t xml:space="preserve">br-floods-crf-2004</t>
  </si>
  <si>
    <t xml:space="preserve">2004-07</t>
  </si>
  <si>
    <t xml:space="preserve">Bihar floods: Calamity Relief Fund release</t>
  </si>
  <si>
    <t xml:space="preserve">BR</t>
  </si>
  <si>
    <t xml:space="preserve">Bihar</t>
  </si>
  <si>
    <t xml:space="preserve">RJD</t>
  </si>
  <si>
    <t xml:space="preserve">First instalment of Bihar’s ₹81.8 crore CRF held up; ₹30.525 crore released on 12 July</t>
  </si>
  <si>
    <t xml:space="preserve">Over a crore people in 16 districts affected (unconfirmed reports)</t>
  </si>
  <si>
    <t xml:space="preserve">The release was delayed because the state had not filed its 2003-04 utilisation report; an inter-ministerial team assessed damage later.</t>
  </si>
  <si>
    <t xml:space="preserve">hrf202</t>
  </si>
  <si>
    <t xml:space="preserve">https://occult-kranti.github.io/fact-duel/hisaab/#/q/hrf202</t>
  </si>
  <si>
    <t xml:space="preserve">Frontline — Battling Bihar (13 Aug 2004)</t>
  </si>
  <si>
    <t xml:space="preserve">https://frontline.thehindu.com/other/article30223930.ece</t>
  </si>
  <si>
    <t xml:space="preserve">in-food-for-work-2004</t>
  </si>
  <si>
    <t xml:space="preserve">National Food for Work Programme</t>
  </si>
  <si>
    <t xml:space="preserve">UPA</t>
  </si>
  <si>
    <t xml:space="preserve">P. Chidambaram (Union Finance Minister, INC)</t>
  </si>
  <si>
    <t xml:space="preserve">Food-for-work in the 150 most backward districts pending a jobs-guarantee law</t>
  </si>
  <si>
    <t xml:space="preserve">Over ₹6,000 crore pooled from existing schemes</t>
  </si>
  <si>
    <t xml:space="preserve">The promised guarantee law, NREGA, was enacted in 2005 and rolled out in February 2006.</t>
  </si>
  <si>
    <t xml:space="preserve">hdb006</t>
  </si>
  <si>
    <t xml:space="preserve">https://occult-kranti.github.io/fact-duel/hisaab/#/q/hdb006</t>
  </si>
  <si>
    <t xml:space="preserve">indiabudget.gov.in — Budget Speech 2004-05, P. Chidambaram (8 Jul 2004)</t>
  </si>
  <si>
    <t xml:space="preserve">https://www.indiabudget.gov.in/budget_archive/ub2004-05/bs/speecha.htm</t>
  </si>
  <si>
    <t xml:space="preserve">mh-free-farm-power-2004</t>
  </si>
  <si>
    <t xml:space="preserve">2004-08</t>
  </si>
  <si>
    <t xml:space="preserve">Free farm power before the 2004 poll (Maharashtra)</t>
  </si>
  <si>
    <t xml:space="preserve">MH</t>
  </si>
  <si>
    <t xml:space="preserve">Maharashtra</t>
  </si>
  <si>
    <t xml:space="preserve">Sushilkumar Shinde (Chief Minister, Maharashtra, INC)</t>
  </si>
  <si>
    <t xml:space="preserve">Free power for farmers, sought only from July 2004 to March 2005</t>
  </si>
  <si>
    <t xml:space="preserve">Over 23 lakh farmers</t>
  </si>
  <si>
    <t xml:space="preserve">₹1,590 crore subsidy</t>
  </si>
  <si>
    <t xml:space="preserve">Maharashtra Assembly 2004</t>
  </si>
  <si>
    <t xml:space="preserve">2004-10</t>
  </si>
  <si>
    <t xml:space="preserve">Congress–NCP front retained power: NCP 71, Congress 69 of 288 seats</t>
  </si>
  <si>
    <t xml:space="preserve">The Congress–NCP front kept power; its March 2005 budget said it would reconsider this ‘pre-election promise’.</t>
  </si>
  <si>
    <t xml:space="preserve">hdb203</t>
  </si>
  <si>
    <t xml:space="preserve">https://occult-kranti.github.io/fact-duel/hisaab/#/q/hdb203</t>
  </si>
  <si>
    <t xml:space="preserve">Times of India — Free power for farmers only up to March? (16 Aug 2004)</t>
  </si>
  <si>
    <t xml:space="preserve">https://timesofindia.indiatimes.com/city/pune/free-power-for-farmers-only-up-to-march/articleshow/816832.cms</t>
  </si>
  <si>
    <t xml:space="preserve">hr-old-age-allowance-2004</t>
  </si>
  <si>
    <t xml:space="preserve">2004-11</t>
  </si>
  <si>
    <t xml:space="preserve">Old Age Samman Allowance raised to ₹300</t>
  </si>
  <si>
    <t xml:space="preserve">Old-age allowance raised from ₹200 to ₹300 a month</t>
  </si>
  <si>
    <t xml:space="preserve">Haryana Assembly 2005</t>
  </si>
  <si>
    <t xml:space="preserve">2005-02</t>
  </si>
  <si>
    <t xml:space="preserve">Congress won 67 of 90 seats; INLD 9</t>
  </si>
  <si>
    <t xml:space="preserve">The INLD lost the February 2005 poll: the Congress won 67 of 90 seats and the INLD fell to 9.</t>
  </si>
  <si>
    <t xml:space="preserve">hdb101</t>
  </si>
  <si>
    <t xml:space="preserve">https://occult-kranti.github.io/fact-duel/hisaab/#/q/hdb101</t>
  </si>
  <si>
    <t xml:space="preserve">Government of Haryana, Social Justice &amp; Empowerment — Old Age Samman Allowance Scheme (rate history, updated Jul 2026)</t>
  </si>
  <si>
    <t xml:space="preserve">https://socialjusticehry.gov.in/old-age-samman-allowance-scheme/</t>
  </si>
  <si>
    <t xml:space="preserve">in-foreign-disaster-aid-policy-2004</t>
  </si>
  <si>
    <t xml:space="preserve">2004-12</t>
  </si>
  <si>
    <t xml:space="preserve">Foreign disaster aid declined (policy)</t>
  </si>
  <si>
    <t xml:space="preserve">Manmohan Singh (Prime Minister, INC)</t>
  </si>
  <si>
    <t xml:space="preserve">After the 2004 tsunami India chose to cope without foreign-government aid; NRI and charity money still allowed</t>
  </si>
  <si>
    <t xml:space="preserve">Offers were declined for Kashmir, Uttarakhand, J&amp;K and Kerala until India accepted Covid aid from about 40 countries in April 2021.</t>
  </si>
  <si>
    <t xml:space="preserve">hrf006; hrf032; hrf024</t>
  </si>
  <si>
    <t xml:space="preserve">https://occult-kranti.github.io/fact-duel/hisaab/#/q/hrf006 https://occult-kranti.github.io/fact-duel/hisaab/#/q/hrf032 https://occult-kranti.github.io/fact-duel/hisaab/#/q/hrf024</t>
  </si>
  <si>
    <t xml:space="preserve">Indian Express — Kerala floods: On foreign aid, India follows policy set in tsunami aftermath (22 Aug 2018)</t>
  </si>
  <si>
    <t xml:space="preserve">https://indianexpress.com/article/india/kerala-floods-on-foreign-aid-india-follows-policy-set-in-tsunami-aftermath-5318338/</t>
  </si>
  <si>
    <t xml:space="preserve">in-12th-fc-disaster-list-2005</t>
  </si>
  <si>
    <t xml:space="preserve">2005</t>
  </si>
  <si>
    <t xml:space="preserve">Calamity funds widened (12th Finance Commission)</t>
  </si>
  <si>
    <t xml:space="preserve">Landslides, avalanches, cloudbursts and pest attacks added to the list calamity funds pay for</t>
  </si>
  <si>
    <t xml:space="preserve">Central releases to state calamity funds rose from ₹2,623 crore (2005-06) to ₹3,792 crore (2009-10), MHA data show.</t>
  </si>
  <si>
    <t xml:space="preserve">hrf009</t>
  </si>
  <si>
    <t xml:space="preserve">https://occult-kranti.github.io/fact-duel/hisaab/#/q/hrf009</t>
  </si>
  <si>
    <t xml:space="preserve">Rajya Sabha Standing Committee on Home Affairs — 261st Report: Disaster Management (Aug 2026), paras 2.13.2–2.13.4</t>
  </si>
  <si>
    <t xml:space="preserve">pb-rakshak-yojana-2005</t>
  </si>
  <si>
    <t xml:space="preserve">Rakshak Yojana (girl child)</t>
  </si>
  <si>
    <t xml:space="preserve">A girl-child cash-transfer scheme</t>
  </si>
  <si>
    <t xml:space="preserve">306 beneficiaries by March 2010</t>
  </si>
  <si>
    <t xml:space="preserve">An IIPS–UNFPA review for the Planning Commission found paperwork and conditions blunted such schemes.</t>
  </si>
  <si>
    <t xml:space="preserve">hdb102</t>
  </si>
  <si>
    <t xml:space="preserve">https://occult-kranti.github.io/fact-duel/hisaab/#/q/hdb102</t>
  </si>
  <si>
    <t xml:space="preserve">Frontline — Off target (27 Jan 2012)</t>
  </si>
  <si>
    <t xml:space="preserve">https://frontline.thehindu.com/other/article30164012.ece</t>
  </si>
  <si>
    <t xml:space="preserve">tn-tsunami-relief-2005</t>
  </si>
  <si>
    <t xml:space="preserve">2005-01</t>
  </si>
  <si>
    <t xml:space="preserve">Tsunami relief package (Tamil Nadu)</t>
  </si>
  <si>
    <t xml:space="preserve">Clothes, rice, kerosene and ₹400 cash per family; boat repair aid</t>
  </si>
  <si>
    <t xml:space="preserve">The state sought ₹4,800 crore and 54,000 tonnes of rice from the Centre; Frontline noted relief grain leaking to the market.</t>
  </si>
  <si>
    <t xml:space="preserve">hrf105</t>
  </si>
  <si>
    <t xml:space="preserve">https://occult-kranti.github.io/fact-duel/hisaab/#/q/hrf105</t>
  </si>
  <si>
    <t xml:space="preserve">Frontline — Rebuilding lives (28 Jan 2005)</t>
  </si>
  <si>
    <t xml:space="preserve">https://frontline.thehindu.com/cover-story/article30203386.ece</t>
  </si>
  <si>
    <t xml:space="preserve">in-tsunami-relief-2005</t>
  </si>
  <si>
    <t xml:space="preserve">Tsunami relief packages</t>
  </si>
  <si>
    <t xml:space="preserve">Rajiv Gandhi Rehabilitation Package for Tamil Nadu, Kerala, Andhra, Puducherry and the Andamans</t>
  </si>
  <si>
    <t xml:space="preserve">₹3,644 crore approved; ₹10,216 crore reconstruction plan</t>
  </si>
  <si>
    <t xml:space="preserve">Parliament’s PAC (2008) found diversions and lapses involving about ₹230 crore; only 250 of 10,000 Andaman houses were built by 2009.</t>
  </si>
  <si>
    <t xml:space="preserve">hrf007; hrf010</t>
  </si>
  <si>
    <t xml:space="preserve">https://occult-kranti.github.io/fact-duel/hisaab/#/q/hrf007 https://occult-kranti.github.io/fact-duel/hisaab/#/q/hrf010</t>
  </si>
  <si>
    <t xml:space="preserve">indiabudget.gov.in — Budget Speech 2005-06, P. Chidambaram (28 Feb 2005), para 4</t>
  </si>
  <si>
    <t xml:space="preserve">https://www.indiabudget.gov.in/budget_archive/ub2005-06/bs/speecha.htm</t>
  </si>
  <si>
    <t xml:space="preserve">in-janani-suraksha-2005</t>
  </si>
  <si>
    <t xml:space="preserve">2005-04</t>
  </si>
  <si>
    <t xml:space="preserve">Janani Suraksha Yojana</t>
  </si>
  <si>
    <t xml:space="preserve">₹1,400 to a rural mother in low-performing states for a facility birth (₹700 elsewhere)</t>
  </si>
  <si>
    <t xml:space="preserve">Institutional births rose from 38.7% (2005-06) to 90.6% (NFHS-6); a 2010 Lancet study linked payment to fewer perinatal deaths.</t>
  </si>
  <si>
    <t xml:space="preserve">hdb007; hdb016</t>
  </si>
  <si>
    <t xml:space="preserve">https://occult-kranti.github.io/fact-duel/hisaab/#/q/hdb007 https://occult-kranti.github.io/fact-duel/hisaab/#/q/hdb016</t>
  </si>
  <si>
    <t xml:space="preserve">National Health Mission — Janani Suraksha Yojana (accessed Sep 2026)</t>
  </si>
  <si>
    <t xml:space="preserve">https://nhm.gov.in/index1.php?lang=1&amp;level=3&amp;sublinkid=841&amp;lid=309</t>
  </si>
  <si>
    <t xml:space="preserve">mh-floods-relief-2005</t>
  </si>
  <si>
    <t xml:space="preserve">2005-07</t>
  </si>
  <si>
    <t xml:space="preserve">July 2005 floods relief (Maharashtra)</t>
  </si>
  <si>
    <t xml:space="preserve">Vilasrao Deshmukh (Chief Minister, Maharashtra, INC)</t>
  </si>
  <si>
    <t xml:space="preserve">₹500 crore state relief, with ₹500 crore more cleared by the Centre</t>
  </si>
  <si>
    <t xml:space="preserve">Over 1.87 lakh houses damaged; eight lakh families affected</t>
  </si>
  <si>
    <t xml:space="preserve">National highway repairs alone were put at over ₹4,100 crore.</t>
  </si>
  <si>
    <t xml:space="preserve">hrf108</t>
  </si>
  <si>
    <t xml:space="preserve">https://occult-kranti.github.io/fact-duel/hisaab/#/q/hrf108</t>
  </si>
  <si>
    <t xml:space="preserve">Frontline — High water and hell (26 Aug 2005)</t>
  </si>
  <si>
    <t xml:space="preserve">https://frontline.thehindu.com/cover-story/article30206092.ece</t>
  </si>
  <si>
    <t xml:space="preserve">pb-free-farm-power-restored-2005</t>
  </si>
  <si>
    <t xml:space="preserve">2005-11</t>
  </si>
  <si>
    <t xml:space="preserve">Free farm power restored (Punjab)</t>
  </si>
  <si>
    <t xml:space="preserve">Free electricity for farmers restored after a three-year break</t>
  </si>
  <si>
    <t xml:space="preserve">Punjab Assembly 2007</t>
  </si>
  <si>
    <t xml:space="preserve">2007-02</t>
  </si>
  <si>
    <t xml:space="preserve">SAD–BJP won 67 of 117 seats; Congress 44</t>
  </si>
  <si>
    <t xml:space="preserve">The SAD–BJP won the February 2007 poll with 67 of 117 seats; the Congress fell from 62 to 44.</t>
  </si>
  <si>
    <t xml:space="preserve">hpe202</t>
  </si>
  <si>
    <t xml:space="preserve">https://occult-kranti.github.io/fact-duel/hisaab/#/q/hpe202</t>
  </si>
  <si>
    <t xml:space="preserve">Outlook — 2007 Punjab Legislative Assembly Elections (26 Dec 2021)</t>
  </si>
  <si>
    <t xml:space="preserve">https://www.outlookindia.com/opinion/india-news-2007-punjab-legislative-assembly-elections-news-305311</t>
  </si>
  <si>
    <t xml:space="preserve">gj-chiranjeevi-2005</t>
  </si>
  <si>
    <t xml:space="preserve">2005-12</t>
  </si>
  <si>
    <t xml:space="preserve">Chiranjeevi Yojana</t>
  </si>
  <si>
    <t xml:space="preserve">State pays private obstetricians to deliver poor women’s babies</t>
  </si>
  <si>
    <t xml:space="preserve">Over 6 lakh deliveries since 2007</t>
  </si>
  <si>
    <t xml:space="preserve">A 2014 PLoS One study found it did not change the already rising private-sector share of births; caesareans under it were 6%.</t>
  </si>
  <si>
    <t xml:space="preserve">hdb403</t>
  </si>
  <si>
    <t xml:space="preserve">https://occult-kranti.github.io/fact-duel/hisaab/#/q/hdb403</t>
  </si>
  <si>
    <t xml:space="preserve">PLOS One — De Costa et al., The state-led large scale public private partnership ‘Chiranjeevi Program’ … in Gujarat (2014)</t>
  </si>
  <si>
    <t xml:space="preserve">https://journals.plos.org/plosone/article?id=10.1371/journal.pone.0095704</t>
  </si>
  <si>
    <t xml:space="preserve">in-disaster-management-act-2005</t>
  </si>
  <si>
    <t xml:space="preserve">Disaster Management Act, 2005</t>
  </si>
  <si>
    <t xml:space="preserve">NDMA under the PM; provision for national and state disaster response and mitigation funds</t>
  </si>
  <si>
    <t xml:space="preserve">The mitigation fund came only after the 15th Finance Commission (2022); Parliament amended the Act in March 2025.</t>
  </si>
  <si>
    <t xml:space="preserve">hrf008</t>
  </si>
  <si>
    <t xml:space="preserve">https://occult-kranti.github.io/fact-duel/hisaab/#/q/hrf008</t>
  </si>
  <si>
    <t xml:space="preserve">PRS Legislative Research — The Disaster Management Act, 2005 (Act No. 53 of 2005), text</t>
  </si>
  <si>
    <t xml:space="preserve">https://prsindia.org/files/bills_acts/bills_parliament/2024/Disaster_Management_Act_2005.pdf</t>
  </si>
  <si>
    <t xml:space="preserve">tn-chennai-flood-relief-2005</t>
  </si>
  <si>
    <t xml:space="preserve">Chennai flood relief camps (2005)</t>
  </si>
  <si>
    <t xml:space="preserve">Relief token distribution at camps after the 2005 floods</t>
  </si>
  <si>
    <t xml:space="preserve">42 died in a stampede at a K.K. Nagar camp; the Supreme Court said it was chiefly due to officers’ negligence.</t>
  </si>
  <si>
    <t xml:space="preserve">hrf107</t>
  </si>
  <si>
    <t xml:space="preserve">https://occult-kranti.github.io/fact-duel/hisaab/#/q/hrf107</t>
  </si>
  <si>
    <t xml:space="preserve">Rediff (PTI) — TN govt responsible for December 2005 stampede: SC (27 Jan 2006)</t>
  </si>
  <si>
    <t xml:space="preserve">https://www.rediff.com/news/report/stampede/20060127.htm</t>
  </si>
  <si>
    <t xml:space="preserve">br-cycle-yojana-2006</t>
  </si>
  <si>
    <t xml:space="preserve">2006</t>
  </si>
  <si>
    <t xml:space="preserve">Mukhyamantri Cycle Yojana</t>
  </si>
  <si>
    <t xml:space="preserve">JD(U)</t>
  </si>
  <si>
    <t xml:space="preserve">Nitish Kumar (Chief Minister, Bihar, JD(U))</t>
  </si>
  <si>
    <t xml:space="preserve">₹2,000 to each Class 9 girl to buy a bicycle; opened to boys in 2009-10</t>
  </si>
  <si>
    <t xml:space="preserve">1.56 lakh girls (2007-08) to about 11.3 lakh students (2024-25)</t>
  </si>
  <si>
    <t xml:space="preserve">An IGC study (Mitra &amp; Moene, 2017) found recipients 27.5% more likely to complete Class 10; the model was copied by other states.</t>
  </si>
  <si>
    <t xml:space="preserve">hdb104; hdb118</t>
  </si>
  <si>
    <t xml:space="preserve">https://occult-kranti.github.io/fact-duel/hisaab/#/q/hdb104 https://occult-kranti.github.io/fact-duel/hisaab/#/q/hdb118</t>
  </si>
  <si>
    <t xml:space="preserve">The Indian Express — Two decades ago, Nitish distributed cycles to girls in Class 9. Where are they now? (Nov 2025)</t>
  </si>
  <si>
    <t xml:space="preserve">https://indianexpress.com/article/long-reads/two-decades-ago-nitish-distributed-cycles-to-girls-in-class-9-where-are-they-now-10360460/</t>
  </si>
  <si>
    <t xml:space="preserve">kl-tsunami-rehabilitation-2006</t>
  </si>
  <si>
    <t xml:space="preserve">Tsunami Rehabilitation Programme (Kerala)</t>
  </si>
  <si>
    <t xml:space="preserve">Centrally approved rehabilitation programme; ₹284.08 crore moved from coastal protection to housing</t>
  </si>
  <si>
    <t xml:space="preserve">₹1,441.75 crore programme</t>
  </si>
  <si>
    <t xml:space="preserve">CAG (2013): 8,549 of 11,000 houses built by July 2012; 72 of 228 chosen villages were not on the coast.</t>
  </si>
  <si>
    <t xml:space="preserve">hrf106</t>
  </si>
  <si>
    <t xml:space="preserve">https://occult-kranti.github.io/fact-duel/hisaab/#/q/hrf106</t>
  </si>
  <si>
    <t xml:space="preserve">The New Indian Express — 'Grave lapses in Tsunami Rehabilitation Programme' (20 Mar 2013)</t>
  </si>
  <si>
    <t xml:space="preserve">https://www.newindianexpress.com/states/kerala/2013/Mar/20/grave-lapses-in-tsunami-rehabilitation-programme-460171.html</t>
  </si>
  <si>
    <t xml:space="preserve">in-nrega-2006</t>
  </si>
  <si>
    <t xml:space="preserve">2006-02</t>
  </si>
  <si>
    <t xml:space="preserve">NREGA / MGNREGA rural jobs guarantee</t>
  </si>
  <si>
    <t xml:space="preserve">Manmohan Singh (Prime Minister, INC); Raghuvansh Prasad Singh (Union Rural Development Minister, RJD)</t>
  </si>
  <si>
    <t xml:space="preserve">100 days of wage work a year guaranteed to every rural household</t>
  </si>
  <si>
    <t xml:space="preserve">3.51 crore households in 2008-09; 4,872 crore person-days by 2025</t>
  </si>
  <si>
    <t xml:space="preserve">₹86,000 crore (2025-26); about ₹11.7 lakh crore since 2005</t>
  </si>
  <si>
    <t xml:space="preserve">Only 4% of households got 100 days in 2024-25 (PRS). Replaced by the VB-G RAM G Act from 1 July 2026.</t>
  </si>
  <si>
    <t xml:space="preserve">hdb009; hdb008; hsc040; hdb011; hdb014; hpe012; hsc038; hsc039; hsc041; hdb041; hdb328</t>
  </si>
  <si>
    <t xml:space="preserve">https://occult-kranti.github.io/fact-duel/hisaab/#/q/hdb009 https://occult-kranti.github.io/fact-duel/hisaab/#/q/hdb008 https://occult-kranti.github.io/fact-duel/hisaab/#/q/hsc040 https://occult-kranti.github.io/fact-duel/hisaab/#/q/hdb011 https://occult-kranti.github.io/fact-duel/hisaab/#/q/hdb014 https://occult-kranti.github.io/fact-duel/hisaab/#/q/hpe012 https://occult-kranti.github.io/fact-duel/hisaab/#/q/hsc038 https://occult-kranti.github.io/fact-duel/hisaab/#/q/hsc039 https://occult-kranti.github.io/fact-duel/hisaab/#/q/hsc041 https://occult-kranti.github.io/fact-duel/hisaab/#/q/hdb041 https://occult-kranti.github.io/fact-duel/hisaab/#/q/hdb328</t>
  </si>
  <si>
    <t xml:space="preserve">The Hindu — NREGS transforms Bandlapalli, where it was launched in 2006 (1 Feb 2021)</t>
  </si>
  <si>
    <t xml:space="preserve">https://www.thehindu.com/news/national/andhra-pradesh/nregs-transforms-bandlapalli-where-it-was-launched-in-2006/article33721578.ece</t>
  </si>
  <si>
    <t xml:space="preserve">up-unemployment-allowance-2006</t>
  </si>
  <si>
    <t xml:space="preserve">Unemployment allowance (UP, 2006)</t>
  </si>
  <si>
    <t xml:space="preserve">UP</t>
  </si>
  <si>
    <t xml:space="preserve">Uttar Pradesh</t>
  </si>
  <si>
    <t xml:space="preserve">SP</t>
  </si>
  <si>
    <t xml:space="preserve">Mulayam Singh Yadav (Chief Minister, Uttar Pradesh, SP)</t>
  </si>
  <si>
    <t xml:space="preserve">₹500 a month to registered unemployed graduates</t>
  </si>
  <si>
    <t xml:space="preserve">₹250 crore a year (estimate)</t>
  </si>
  <si>
    <t xml:space="preserve">Registrations surged; the BSP government scrapped it and the SP revived it at ₹1,000 in 2012.</t>
  </si>
  <si>
    <t xml:space="preserve">hdb103</t>
  </si>
  <si>
    <t xml:space="preserve">https://occult-kranti.github.io/fact-duel/hisaab/#/q/hdb103</t>
  </si>
  <si>
    <t xml:space="preserve">Hindustan Times — Unemployment dole (26 Mar 2006)</t>
  </si>
  <si>
    <t xml:space="preserve">https://www.hindustantimes.com/india/unemployment-dole/story-4nNvKmDAYGRN0MfOx1iDKP.html</t>
  </si>
  <si>
    <t xml:space="preserve">tn-co-op-loan-waiver-2006</t>
  </si>
  <si>
    <t xml:space="preserve">2006-05</t>
  </si>
  <si>
    <t xml:space="preserve">Co-operative loan waiver (Tamil Nadu, 2006)</t>
  </si>
  <si>
    <t xml:space="preserve">DMK</t>
  </si>
  <si>
    <t xml:space="preserve">M. Karunanidhi (Chief Minister, Tamil Nadu, DMK)</t>
  </si>
  <si>
    <t xml:space="preserve">Farmers’ co-operative loans waived; rice at ₹2 a kg; two eggs a week in the noon meal</t>
  </si>
  <si>
    <t xml:space="preserve">₹6,866 crore (waiver)</t>
  </si>
  <si>
    <t xml:space="preserve">Signed on oath day as the DMK manifesto promised; the DMK-led front had won 163 of 234.</t>
  </si>
  <si>
    <t xml:space="preserve">hpe104</t>
  </si>
  <si>
    <t xml:space="preserve">https://occult-kranti.github.io/fact-duel/hisaab/#/q/hpe104</t>
  </si>
  <si>
    <t xml:space="preserve">Frontline — Promises to keep (2 Jun 2006)</t>
  </si>
  <si>
    <t xml:space="preserve">https://frontline.thehindu.com/cover-story/article30209583.ece</t>
  </si>
  <si>
    <t xml:space="preserve">tn-free-colour-tv-2006</t>
  </si>
  <si>
    <t xml:space="preserve">2006-09</t>
  </si>
  <si>
    <t xml:space="preserve">Free colour TV scheme</t>
  </si>
  <si>
    <t xml:space="preserve">A free colour TV for every family without one</t>
  </si>
  <si>
    <t xml:space="preserve">14.6 lakh sets in the first ten months</t>
  </si>
  <si>
    <t xml:space="preserve">₹530 crore a year (DMK’s 2006 estimate)</t>
  </si>
  <si>
    <t xml:space="preserve">The EC halted handouts in March 2011; the AIADMK won 203 of 234 with allies and scrapped it. The SC’s 2013 ruling on freebies arose from it.</t>
  </si>
  <si>
    <t xml:space="preserve">hdb205; hdb206; hdb213; hpe103; hpe108; hpe015</t>
  </si>
  <si>
    <t xml:space="preserve">https://occult-kranti.github.io/fact-duel/hisaab/#/q/hdb205 https://occult-kranti.github.io/fact-duel/hisaab/#/q/hdb206 https://occult-kranti.github.io/fact-duel/hisaab/#/q/hdb213 https://occult-kranti.github.io/fact-duel/hisaab/#/q/hpe103 https://occult-kranti.github.io/fact-duel/hisaab/#/q/hpe108 https://occult-kranti.github.io/fact-duel/hisaab/#/q/hpe015</t>
  </si>
  <si>
    <t xml:space="preserve">Times of India — 'Free TV' soap opera is a hit in TN (Sep 2006)</t>
  </si>
  <si>
    <t xml:space="preserve">https://timesofindia.indiatimes.com/india/free-tv-soap-opera-is-a-hit-in-tn/articleshow/1996396.cms</t>
  </si>
  <si>
    <t xml:space="preserve">as-floods-majuli-2007</t>
  </si>
  <si>
    <t xml:space="preserve">2007</t>
  </si>
  <si>
    <t xml:space="preserve">Assam floods: Majuli package</t>
  </si>
  <si>
    <t xml:space="preserve">AS</t>
  </si>
  <si>
    <t xml:space="preserve">Assam</t>
  </si>
  <si>
    <t xml:space="preserve">Tarun Gogoi (Chief Minister, Assam, INC)</t>
  </si>
  <si>
    <t xml:space="preserve">₹100 crore development package for Majuli after the Matmora embankment breach</t>
  </si>
  <si>
    <t xml:space="preserve">Over 1.35 lakh islanders displaced</t>
  </si>
  <si>
    <t xml:space="preserve">Frontline found most embankments over 40 years old; the state was banking on a ₹1,600 crore ADB-funded flood project.</t>
  </si>
  <si>
    <t xml:space="preserve">hrf203</t>
  </si>
  <si>
    <t xml:space="preserve">https://occult-kranti.github.io/fact-duel/hisaab/#/q/hrf203</t>
  </si>
  <si>
    <t xml:space="preserve">Frontline — Torrent of sorrow (19 Oct 2007)</t>
  </si>
  <si>
    <t xml:space="preserve">https://frontline.thehindu.com/other/article30193144.ece</t>
  </si>
  <si>
    <t xml:space="preserve">mp-ladli-laxmi-2007</t>
  </si>
  <si>
    <t xml:space="preserve">2007-05</t>
  </si>
  <si>
    <t xml:space="preserve">Ladli Laxmi Yojana</t>
  </si>
  <si>
    <t xml:space="preserve">Shivraj Singh Chouhan (Chief Minister, Madhya Pradesh, BJP)</t>
  </si>
  <si>
    <t xml:space="preserve">Savings certificates of ₹6,000 a year for five years; staged payments and over ₹1 lakh at 21</t>
  </si>
  <si>
    <t xml:space="preserve">Over 23 lakh girls by 2016; 3.45 lakh registered in 2020-21</t>
  </si>
  <si>
    <t xml:space="preserve">₹1,363.62 crore (2020-21)</t>
  </si>
  <si>
    <t xml:space="preserve">Registrations and spending peaked in 2020-21; each registration commits the state to about ₹1 lakh at 21.</t>
  </si>
  <si>
    <t xml:space="preserve">hdb207; hdb244</t>
  </si>
  <si>
    <t xml:space="preserve">https://occult-kranti.github.io/fact-duel/hisaab/#/q/hdb207 https://occult-kranti.github.io/fact-duel/hisaab/#/q/hdb244</t>
  </si>
  <si>
    <t xml:space="preserve">OneIndia (UNI) — Ladli Lakshmi Yojana in MP (2 May 2007)</t>
  </si>
  <si>
    <t xml:space="preserve">https://www.oneindia.com/2007/05/02/ladli-lakshmi-yojana-in-mp-1178120286.html</t>
  </si>
  <si>
    <t xml:space="preserve">pb-atta-dal-2007</t>
  </si>
  <si>
    <t xml:space="preserve">2007-08</t>
  </si>
  <si>
    <t xml:space="preserve">Atta-dal scheme</t>
  </si>
  <si>
    <t xml:space="preserve">SAD</t>
  </si>
  <si>
    <t xml:space="preserve">Parkash Singh Badal (Chief Minister, Punjab, SAD)</t>
  </si>
  <si>
    <t xml:space="preserve">Wheat at ₹4 a kg and chana dal at ₹20 a kg for poor families</t>
  </si>
  <si>
    <t xml:space="preserve">Folded into the NFSA; wheat free since Covid. About 23 lakh NFSA beneficiaries were weeded out in two years (Tribune).</t>
  </si>
  <si>
    <t xml:space="preserve">hdb105</t>
  </si>
  <si>
    <t xml:space="preserve">https://occult-kranti.github.io/fact-duel/hisaab/#/q/hdb105</t>
  </si>
  <si>
    <t xml:space="preserve">The Tribune — Mann govt to provide free ration kits to 40L families ahead of poll (24 Feb 2026)</t>
  </si>
  <si>
    <t xml:space="preserve">https://www.tribuneindia.com/news/top-headlines/mann-govt-to-provide-free-ration-kits-to-40l-families-ahead-of-poll/</t>
  </si>
  <si>
    <t xml:space="preserve">in-ignoaps-2007</t>
  </si>
  <si>
    <t xml:space="preserve">2007-11</t>
  </si>
  <si>
    <t xml:space="preserve">Old-age pension (IGNOAPS / NSAP)</t>
  </si>
  <si>
    <t xml:space="preserve">Central pension for all BPL persons aged 65+ (later 60+), ₹200 a month since 2012</t>
  </si>
  <si>
    <t xml:space="preserve">146 lakh pensioners in 2008-09</t>
  </si>
  <si>
    <t xml:space="preserve">₹9,652 crore for NSAP (2025-26)</t>
  </si>
  <si>
    <t xml:space="preserve">A 2026 ministry study found inflation had cut the ₹200’s real value by about 45%; the Centre says no rise is proposed.</t>
  </si>
  <si>
    <t xml:space="preserve">distribution; relief</t>
  </si>
  <si>
    <t xml:space="preserve">hdb010; hdb043; hdb033</t>
  </si>
  <si>
    <t xml:space="preserve">https://occult-kranti.github.io/fact-duel/hisaab/#/q/hdb010 https://occult-kranti.github.io/fact-duel/hisaab/#/q/hdb043 https://occult-kranti.github.io/fact-duel/hisaab/#/q/hdb033</t>
  </si>
  <si>
    <t xml:space="preserve">indiabudget.gov.in — Interim Budget Speech 2009-10, Pranab Mukherjee (16 Feb 2009)</t>
  </si>
  <si>
    <t xml:space="preserve">https://www.indiabudget.gov.in/budget_archive/ub2009-10(I)/bs/speecha.htm</t>
  </si>
  <si>
    <t xml:space="preserve">dl-ladli-2008</t>
  </si>
  <si>
    <t xml:space="preserve">2008</t>
  </si>
  <si>
    <t xml:space="preserve">Ladli scheme (Delhi)</t>
  </si>
  <si>
    <t xml:space="preserve">DL</t>
  </si>
  <si>
    <t xml:space="preserve">Delhi</t>
  </si>
  <si>
    <t xml:space="preserve">Sheila Dikshit (Chief Minister, Delhi, INC)</t>
  </si>
  <si>
    <t xml:space="preserve">Instalments through a girl’s schooling plus up to ₹1 lakh at 18</t>
  </si>
  <si>
    <t xml:space="preserve">8.84 lakh active beneficiaries (Dec 2022)</t>
  </si>
  <si>
    <t xml:space="preserve">Delhi Assembly 2008</t>
  </si>
  <si>
    <t xml:space="preserve">2008-11</t>
  </si>
  <si>
    <t xml:space="preserve">Congress won 43 of 70; BJP 23</t>
  </si>
  <si>
    <t xml:space="preserve">CAG (2025): ₹618.38 crore unclaimed, 55% of active beneficiaries unpaid, 16,546 duplicates. To be replaced by Lakhpati Bitiya from April 2026.</t>
  </si>
  <si>
    <t xml:space="preserve">hpe151; hdb128</t>
  </si>
  <si>
    <t xml:space="preserve">https://occult-kranti.github.io/fact-duel/hisaab/#/q/hpe151 https://occult-kranti.github.io/fact-duel/hisaab/#/q/hdb128</t>
  </si>
  <si>
    <t xml:space="preserve">The New Indian Express — 'Duplicate registrations': CAG exposes Rs 220 crore irregularities in Ladli scheme (27 Feb 2025)</t>
  </si>
  <si>
    <t xml:space="preserve">https://www.newindianexpress.com/cities/delhi/2025/Feb/27/ladli-scheme-audit-finds-rs-61838-crore-unclaimed-reveals-massive-irregularities</t>
  </si>
  <si>
    <t xml:space="preserve">rj-bhamashah-2008</t>
  </si>
  <si>
    <t xml:space="preserve">Bhamashah, first version</t>
  </si>
  <si>
    <t xml:space="preserve">Vasundhara Raje (Chief Minister, Rajasthan, BJP)</t>
  </si>
  <si>
    <t xml:space="preserve">Bank accounts for women heads of families, with transfers into them</t>
  </si>
  <si>
    <t xml:space="preserve">26 lakh accounts; 10 lakh credited</t>
  </si>
  <si>
    <t xml:space="preserve">About ₹160 crore transferred</t>
  </si>
  <si>
    <t xml:space="preserve">Rajasthan Assembly 2008</t>
  </si>
  <si>
    <t xml:space="preserve">2008-12</t>
  </si>
  <si>
    <t xml:space="preserve">Congress won 96 of 200; BJP 78</t>
  </si>
  <si>
    <t xml:space="preserve">The Congress won 96 of 200 in December 2008 and dropped the scheme; it returned in 2014.</t>
  </si>
  <si>
    <t xml:space="preserve">hpe106</t>
  </si>
  <si>
    <t xml:space="preserve">https://occult-kranti.github.io/fact-duel/hisaab/#/q/hpe106</t>
  </si>
  <si>
    <t xml:space="preserve">The Hindu — Vasundhara to re-launch scheme to empower women (15 Aug 2014)</t>
  </si>
  <si>
    <t xml:space="preserve">https://www.thehindu.com/news/national/other-states/vasundhara-to-relaunch-scheme-to-empower-women/article6319335.ece</t>
  </si>
  <si>
    <t xml:space="preserve">ct-rice-3-a-kg-2008</t>
  </si>
  <si>
    <t xml:space="preserve">2008-01</t>
  </si>
  <si>
    <t xml:space="preserve">Rice at ₹3 a kg and salt at 25 paise (Chhattisgarh)</t>
  </si>
  <si>
    <t xml:space="preserve">CT</t>
  </si>
  <si>
    <t xml:space="preserve">Chhattisgarh</t>
  </si>
  <si>
    <t xml:space="preserve">Raman Singh (Chief Minister, Chhattisgarh, BJP)</t>
  </si>
  <si>
    <t xml:space="preserve">35 kg of rice a month at ₹3 a kg for BPL families, then salt at 25 paise a kg</t>
  </si>
  <si>
    <t xml:space="preserve">Nearly 34 lakh BPL families</t>
  </si>
  <si>
    <t xml:space="preserve">₹837 crore (costed at launch)</t>
  </si>
  <si>
    <t xml:space="preserve">Chhattisgarh Assembly 2008</t>
  </si>
  <si>
    <t xml:space="preserve">BJP retained power with 50 of 90 seats; Congress 38</t>
  </si>
  <si>
    <t xml:space="preserve">The BJP kept power in November 2008 with 50 of 90 seats; by 2013 Frontline found even adversaries crediting the cheap-rice scheme.</t>
  </si>
  <si>
    <t xml:space="preserve">hdb208; hpe105</t>
  </si>
  <si>
    <t xml:space="preserve">https://occult-kranti.github.io/fact-duel/hisaab/#/q/hdb208 https://occult-kranti.github.io/fact-duel/hisaab/#/q/hpe105</t>
  </si>
  <si>
    <t xml:space="preserve">Times of India — Chhattisgarh poor to get rice at Rs 3/kg (17 Jan 2008)</t>
  </si>
  <si>
    <t xml:space="preserve">https://timesofindia.indiatimes.com/india/chhattisgarh-poor-to-get-rice-at-rs-3/kg/articleshow/2706349.cms</t>
  </si>
  <si>
    <t xml:space="preserve">od-mo-kudia-2008</t>
  </si>
  <si>
    <t xml:space="preserve">Mo Kudia (My Hut)</t>
  </si>
  <si>
    <t xml:space="preserve">State-funded houses (₹25,000 each at first) for poor families left off the BPL list</t>
  </si>
  <si>
    <t xml:space="preserve">About 15 lakh households targeted over five years (2014)</t>
  </si>
  <si>
    <t xml:space="preserve">Folded into Biju Pucca Ghar in September 2014.</t>
  </si>
  <si>
    <t xml:space="preserve">hdb336</t>
  </si>
  <si>
    <t xml:space="preserve">https://occult-kranti.github.io/fact-duel/hisaab/#/q/hdb336</t>
  </si>
  <si>
    <t xml:space="preserve">The Times of India — Government renames Mo Kudia scheme (12 Sep 2014)</t>
  </si>
  <si>
    <t xml:space="preserve">https://timesofindia.indiatimes.com/city/bhubaneswar/Government-renames-Mo-Kudia-scheme/articleshow/42329187.cms</t>
  </si>
  <si>
    <t xml:space="preserve">in-farm-debt-waiver-2008</t>
  </si>
  <si>
    <t xml:space="preserve">2008-02</t>
  </si>
  <si>
    <t xml:space="preserve">Farm debt waiver and relief</t>
  </si>
  <si>
    <t xml:space="preserve">Overdue loans of small and marginal farmers waived; 25% one-time settlement for others</t>
  </si>
  <si>
    <t xml:space="preserve">3.6 crore farmers (early reports)</t>
  </si>
  <si>
    <t xml:space="preserve">₹60,000 crore estimated; ₹65,300 crore reported in 2009</t>
  </si>
  <si>
    <t xml:space="preserve">Lok Sabha 2009</t>
  </si>
  <si>
    <t xml:space="preserve">2009-04</t>
  </si>
  <si>
    <t xml:space="preserve">INC 206 seats; the Congress-led UPA returned with 262</t>
  </si>
  <si>
    <t xml:space="preserve">CAG (2013): 8.5% of test-checked beneficiaries ineligible and 13.46% of eligible left out. The UPA returned in 2009 (Congress 206).</t>
  </si>
  <si>
    <t xml:space="preserve">hdb012; hdb013; hdb021; hpe016</t>
  </si>
  <si>
    <t xml:space="preserve">https://occult-kranti.github.io/fact-duel/hisaab/#/q/hdb012 https://occult-kranti.github.io/fact-duel/hisaab/#/q/hdb013 https://occult-kranti.github.io/fact-duel/hisaab/#/q/hdb021 https://occult-kranti.github.io/fact-duel/hisaab/#/q/hpe016</t>
  </si>
  <si>
    <t xml:space="preserve">indiabudget.gov.in — Budget Speech 2008-09, P. Chidambaram (29 Feb 2008)</t>
  </si>
  <si>
    <t xml:space="preserve">https://www.indiabudget.gov.in/budget_archive/ub2008-09/bs/speecha.htm</t>
  </si>
  <si>
    <t xml:space="preserve">in-income-tax-limit-2008</t>
  </si>
  <si>
    <t xml:space="preserve">Income-tax exemption limit raised</t>
  </si>
  <si>
    <t xml:space="preserve">Basic exemption raised from ₹1.1 lakh to ₹1.5 lakh; every assessee gained at least ₹4,000</t>
  </si>
  <si>
    <t xml:space="preserve">INC won 206 seats, its best since 1991; the Congress-led UPA returned to power</t>
  </si>
  <si>
    <t xml:space="preserve">Polling began 412 days later; the Congress won 206 seats. The cited sources make no causal claim.</t>
  </si>
  <si>
    <t xml:space="preserve">hpe007</t>
  </si>
  <si>
    <t xml:space="preserve">https://occult-kranti.github.io/fact-duel/hisaab/#/q/hpe007</t>
  </si>
  <si>
    <t xml:space="preserve">in-rsby-2008</t>
  </si>
  <si>
    <t xml:space="preserve">Rashtriya Swasthya Bima Yojana</t>
  </si>
  <si>
    <t xml:space="preserve">₹30,000 hospital cover for BPL families of unorganised-sector workers</t>
  </si>
  <si>
    <t xml:space="preserve">Over 46 lakh BPL families by July 2009</t>
  </si>
  <si>
    <t xml:space="preserve">₹205 crore central premium share (2008-09)</t>
  </si>
  <si>
    <t xml:space="preserve">Its 2009-10 allocation rose 40% to ₹350 crore; the UPA was re-elected in May 2009.</t>
  </si>
  <si>
    <t xml:space="preserve">hpe008</t>
  </si>
  <si>
    <t xml:space="preserve">https://occult-kranti.github.io/fact-duel/hisaab/#/q/hpe008</t>
  </si>
  <si>
    <t xml:space="preserve">ap-rice-2-a-kg-2008</t>
  </si>
  <si>
    <t xml:space="preserve">2008-04</t>
  </si>
  <si>
    <t xml:space="preserve">Rice at ₹2 a kg (Andhra Pradesh)</t>
  </si>
  <si>
    <t xml:space="preserve">Rice at ₹2 a kg for BPL families, reviving a scheme pioneered by N.T. Rama Rao</t>
  </si>
  <si>
    <t xml:space="preserve">About 1.87 crore BPL families (state estimate)</t>
  </si>
  <si>
    <t xml:space="preserve">Andhra Pradesh Assembly 2009</t>
  </si>
  <si>
    <t xml:space="preserve">Congress retained power with 156 of 294 seats; TDP 92</t>
  </si>
  <si>
    <t xml:space="preserve">The Congress was re-elected in April 2009 with 156 of 294 seats; the TDP won 92.</t>
  </si>
  <si>
    <t xml:space="preserve">hdb209</t>
  </si>
  <si>
    <t xml:space="preserve">https://occult-kranti.github.io/fact-duel/hisaab/#/q/hdb209</t>
  </si>
  <si>
    <t xml:space="preserve">Times of India — Poll sop: Rice at Rs 2/kg in Andhra (10 Apr 2008)</t>
  </si>
  <si>
    <t xml:space="preserve">https://timesofindia.indiatimes.com/india/poll-sop-rice-at-rs-2/kg-in-andhra/articleshow/2939135.cms</t>
  </si>
  <si>
    <t xml:space="preserve">br-kosi-floods-2008</t>
  </si>
  <si>
    <t xml:space="preserve">2008-08</t>
  </si>
  <si>
    <t xml:space="preserve">Kosi floods central aid</t>
  </si>
  <si>
    <t xml:space="preserve">₹1,000 crore and 1.25 lakh tonnes of grain; floods declared a ‘national disaster’</t>
  </si>
  <si>
    <t xml:space="preserve">Nearly 20 lakh people displaced</t>
  </si>
  <si>
    <t xml:space="preserve">The Centre met Bihar’s ₹1,000 crore request in full and exceeded its grain request.</t>
  </si>
  <si>
    <t xml:space="preserve">hrf011</t>
  </si>
  <si>
    <t xml:space="preserve">https://occult-kranti.github.io/fact-duel/hisaab/#/q/hrf011</t>
  </si>
  <si>
    <t xml:space="preserve">Economic Times — PM sanctions Rs 1,000 crore, declares Bihar flood national disaster (29 Aug 2008)</t>
  </si>
  <si>
    <t xml:space="preserve">https://economictimes.indiatimes.com/news/politics-and-nation/pm-sanctions-rs-1000-crore-declares-bihar-flood-national-disaster/articleshow/3419064.cms</t>
  </si>
  <si>
    <t xml:space="preserve">in-sixth-pay-commission-2008</t>
  </si>
  <si>
    <t xml:space="preserve">Sixth Pay Commission award</t>
  </si>
  <si>
    <t xml:space="preserve">Pranab Mukherjee (Union Finance Minister, INC)</t>
  </si>
  <si>
    <t xml:space="preserve">Pay revised from 1 January 2006; minimum pay ₹7,000 a month</t>
  </si>
  <si>
    <t xml:space="preserve">Over 45 lakh employees and 38 lakh pensioners</t>
  </si>
  <si>
    <t xml:space="preserve">The July 2009 budget said non-plan spending rose mainly on the pay award; the UPA had returned with the Congress at 206.</t>
  </si>
  <si>
    <t xml:space="preserve">hpe009</t>
  </si>
  <si>
    <t xml:space="preserve">https://occult-kranti.github.io/fact-duel/hisaab/#/q/hpe009</t>
  </si>
  <si>
    <t xml:space="preserve">indiabudget.gov.in — Interim Budget 2009-10 speech, Pranab Mukherjee (16 Feb 2009)</t>
  </si>
  <si>
    <t xml:space="preserve">od-rice-2-a-kg-2008</t>
  </si>
  <si>
    <t xml:space="preserve">Rice at ₹2 a kg (Odisha)</t>
  </si>
  <si>
    <t xml:space="preserve">Rice at ₹2 a kg for poor families, the state paying above the central subsidy (it was ₹4.75 in 2001)</t>
  </si>
  <si>
    <t xml:space="preserve">Odisha Assembly 2009</t>
  </si>
  <si>
    <t xml:space="preserve">BJD won 103 of 147 seats</t>
  </si>
  <si>
    <t xml:space="preserve">The BJD returned with 103 of 147 seats in 2009. No study cited links the result to the scheme.</t>
  </si>
  <si>
    <t xml:space="preserve">hdb313; hdb311</t>
  </si>
  <si>
    <t xml:space="preserve">https://occult-kranti.github.io/fact-duel/hisaab/#/q/hdb313 https://occult-kranti.github.io/fact-duel/hisaab/#/q/hdb311</t>
  </si>
  <si>
    <t xml:space="preserve">The Indian Express — Naveen is Orissa CM for record fourth time (22 May 2014)</t>
  </si>
  <si>
    <t xml:space="preserve">https://indianexpress.com/article/political-pulse/naveen-is-orissa-cm-for-record-fourth-time/</t>
  </si>
  <si>
    <t xml:space="preserve">tn-rice-1-a-kg-2008</t>
  </si>
  <si>
    <t xml:space="preserve">2008-09</t>
  </si>
  <si>
    <t xml:space="preserve">Rice at ₹1 a kg (Tamil Nadu)</t>
  </si>
  <si>
    <t xml:space="preserve">Up to 20 kg of PDS rice a month at ₹1 a kg</t>
  </si>
  <si>
    <t xml:space="preserve">1.86 crore ration-card families</t>
  </si>
  <si>
    <t xml:space="preserve">About ₹400 crore a year extra</t>
  </si>
  <si>
    <t xml:space="preserve">Lok Sabha 2009 (Tamil Nadu)</t>
  </si>
  <si>
    <t xml:space="preserve">2009-05</t>
  </si>
  <si>
    <t xml:space="preserve">DMK-led alliance won 27 of 39 seats; AIADMK-led front 12</t>
  </si>
  <si>
    <t xml:space="preserve">The DMK-led alliance won 27 of Tamil Nadu’s 39 Lok Sabha seats in 2009.</t>
  </si>
  <si>
    <t xml:space="preserve">hdb210</t>
  </si>
  <si>
    <t xml:space="preserve">https://occult-kranti.github.io/fact-duel/hisaab/#/q/hdb210</t>
  </si>
  <si>
    <t xml:space="preserve">Times of India — Rice at Re 1 per kg in TN (31 Aug 2008)</t>
  </si>
  <si>
    <t xml:space="preserve">https://timesofindia.indiatimes.com/city/chennai/rice-at-re-1-per-kg-in-tn-from-sept-5/articleshow/3426920.cms</t>
  </si>
  <si>
    <t xml:space="preserve">in-excise-stimulus-2008</t>
  </si>
  <si>
    <t xml:space="preserve">Excise cuts and stimulus</t>
  </si>
  <si>
    <t xml:space="preserve">CENVAT on non-petroleum goods cut by 6 points in all (Dec 2008–Feb 2009)</t>
  </si>
  <si>
    <t xml:space="preserve">Stimulus of ₹1,86,000 crore; deficit 2.7% to 6.2% of GDP</t>
  </si>
  <si>
    <t xml:space="preserve">The last cut came 51 days before polling; the UPA returned with the Congress at 206 seats.</t>
  </si>
  <si>
    <t xml:space="preserve">hpe011</t>
  </si>
  <si>
    <t xml:space="preserve">https://occult-kranti.github.io/fact-duel/hisaab/#/q/hpe011</t>
  </si>
  <si>
    <t xml:space="preserve">indiabudget.gov.in — Budget Speech 2009-10, Pranab Mukherjee (6 Jul 2009)</t>
  </si>
  <si>
    <t xml:space="preserve">https://www.indiabudget.gov.in/budget_archive/ub2009-10/bs/speecha.htm</t>
  </si>
  <si>
    <t xml:space="preserve">gj-garib-kalyan-melas-2009</t>
  </si>
  <si>
    <t xml:space="preserve">2009</t>
  </si>
  <si>
    <t xml:space="preserve">Garib Kalyan Melas</t>
  </si>
  <si>
    <t xml:space="preserve">Narendra Modi (Chief Minister, Gujarat, BJP)</t>
  </si>
  <si>
    <t xml:space="preserve">Public events where scheme benefits and tool kits are handed to poor families</t>
  </si>
  <si>
    <t xml:space="preserve">1.66 crore people via 1,600+ melas (state figure, 2024)</t>
  </si>
  <si>
    <t xml:space="preserve">₹36,800 crore handed out in all (state figure, 2024)</t>
  </si>
  <si>
    <t xml:space="preserve">The 14th round in Sept 2024 was to hand out ₹4,568 crore, CM Bhupendra Patel said.</t>
  </si>
  <si>
    <t xml:space="preserve">hdb404</t>
  </si>
  <si>
    <t xml:space="preserve">https://occult-kranti.github.io/fact-duel/hisaab/#/q/hdb404</t>
  </si>
  <si>
    <t xml:space="preserve">The Indian Express — Gujarat CM Bhupendra Patel launches 14th Garib Kalyan Mela, says Rs 4568 crore to be distributed among poor (27 Sep 2024)</t>
  </si>
  <si>
    <t xml:space="preserve">https://indianexpress.com/article/cities/ahmedabad/gujarat-cm-bhupendra-patel-launches-14th-garib-kalyan-mela-9591151/</t>
  </si>
  <si>
    <t xml:space="preserve">ka-aasare-flood-houses-2009</t>
  </si>
  <si>
    <t xml:space="preserve">Aasare flood houses</t>
  </si>
  <si>
    <t xml:space="preserve">B.S. Yeddyurappa (Chief Minister, Karnataka, BJP)</t>
  </si>
  <si>
    <t xml:space="preserve">1,00,000 houses at ₹1 lakh each for north Karnataka flood victims</t>
  </si>
  <si>
    <t xml:space="preserve">In Raichur, 11,123 of 12,241 houses were built by 2013, but many stood empty for want of water and power.</t>
  </si>
  <si>
    <t xml:space="preserve">hrf109</t>
  </si>
  <si>
    <t xml:space="preserve">https://occult-kranti.github.io/fact-duel/hisaab/#/q/hrf109</t>
  </si>
  <si>
    <t xml:space="preserve">Frontline — After the deluge (6 Nov 2009)</t>
  </si>
  <si>
    <t xml:space="preserve">https://frontline.thehindu.com/the-nation/article30188800.ece</t>
  </si>
  <si>
    <t xml:space="preserve">mh-slum-cutoff-2009</t>
  </si>
  <si>
    <t xml:space="preserve">Slum regularisation cut-off moved to 2000</t>
  </si>
  <si>
    <t xml:space="preserve">Ashok Chavan (Chief Minister, Maharashtra, INC)</t>
  </si>
  <si>
    <t xml:space="preserve">Mumbai slum encroachments up to 2000 made eligible for regularisation</t>
  </si>
  <si>
    <t xml:space="preserve">About 75 lakh slum-dwellers in Mumbai</t>
  </si>
  <si>
    <t xml:space="preserve">Maharashtra Assembly 2009</t>
  </si>
  <si>
    <t xml:space="preserve">2009-10</t>
  </si>
  <si>
    <t xml:space="preserve">Congress 82, NCP 62 of 288: the Congress–NCP alliance kept power</t>
  </si>
  <si>
    <t xml:space="preserve">The order awaited the Supreme Court as the High Court had barred extensions; the Congress–NCP kept power.</t>
  </si>
  <si>
    <t xml:space="preserve">hpe203</t>
  </si>
  <si>
    <t xml:space="preserve">https://occult-kranti.github.io/fact-duel/hisaab/#/q/hpe203</t>
  </si>
  <si>
    <t xml:space="preserve">Frontline — Promises to Mumbai (23 Oct 2009)</t>
  </si>
  <si>
    <t xml:space="preserve">https://frontline.thehindu.com/politics/article30188745.ece</t>
  </si>
  <si>
    <t xml:space="preserve">up-bundelkhand-package-2009</t>
  </si>
  <si>
    <t xml:space="preserve">Bundelkhand drought package</t>
  </si>
  <si>
    <t xml:space="preserve">Central drought package for Bundelkhand districts of UP and MP</t>
  </si>
  <si>
    <t xml:space="preserve">₹7,266 crore (2009–12)</t>
  </si>
  <si>
    <t xml:space="preserve">UP had spent ₹280.99 crore of ₹860.97 crore released by Nov 2011; the Centre extended it with ₹4,400 crore for 2012–17.</t>
  </si>
  <si>
    <t xml:space="preserve">hrf204</t>
  </si>
  <si>
    <t xml:space="preserve">https://occult-kranti.github.io/fact-duel/hisaab/#/q/hrf204</t>
  </si>
  <si>
    <t xml:space="preserve">The Hindu — Whither Bundelkhand package? (12 Feb 2012)</t>
  </si>
  <si>
    <t xml:space="preserve">https://www.thehindu.com/news/national/whither-bundelkhand-package/article2883401.ece</t>
  </si>
  <si>
    <t xml:space="preserve">wb-subsidised-rice-2009</t>
  </si>
  <si>
    <t xml:space="preserve">Subsidised rice (West Bengal, 2009)</t>
  </si>
  <si>
    <t xml:space="preserve">WB</t>
  </si>
  <si>
    <t xml:space="preserve">West Bengal</t>
  </si>
  <si>
    <t xml:space="preserve">CPI(M)</t>
  </si>
  <si>
    <t xml:space="preserve">Subsidised rice for poor families</t>
  </si>
  <si>
    <t xml:space="preserve">2.64 crore BPL people</t>
  </si>
  <si>
    <t xml:space="preserve">The Left lost power in 2011; the TMC widened coverage by 20% to 3.2 crore.</t>
  </si>
  <si>
    <t xml:space="preserve">hdb300</t>
  </si>
  <si>
    <t xml:space="preserve">https://occult-kranti.github.io/fact-duel/hisaab/#/q/hdb300</t>
  </si>
  <si>
    <t xml:space="preserve">The Indian Express — In Jangalmahal village that once went hungry, 'parivartan' takes the form of affordable rice (28 Mar 2016)</t>
  </si>
  <si>
    <t xml:space="preserve">https://indianexpress.com/article/india/india-news-india/west-bengal-assembly-elections-2016-in-jangalmahal-village-that-once-went-hungry-parivartan-takes-the-form-of-affordable-rice/</t>
  </si>
  <si>
    <t xml:space="preserve">up-balika-ashirvad-2009</t>
  </si>
  <si>
    <t xml:space="preserve">2009-01</t>
  </si>
  <si>
    <t xml:space="preserve">Mahamaya Garib Balika Ashirvad Yojana</t>
  </si>
  <si>
    <t xml:space="preserve">BSP</t>
  </si>
  <si>
    <t xml:space="preserve">Mayawati (Chief Minister, Uttar Pradesh, BSP)</t>
  </si>
  <si>
    <t xml:space="preserve">₹22,000 savings certificate for each girl born to a BPL family, growing to ₹1 lakh at 18</t>
  </si>
  <si>
    <t xml:space="preserve">About ₹2,000 crore with a sister scheme</t>
  </si>
  <si>
    <t xml:space="preserve">Lok Sabha 2009 (Uttar Pradesh)</t>
  </si>
  <si>
    <t xml:space="preserve">BSP won 20 of UP’s 80 seats; SP 23, Congress 21, BJP 10</t>
  </si>
  <si>
    <t xml:space="preserve">The BSP won 20 of UP’s 80 Lok Sabha seats in 2009, behind the SP’s 23.</t>
  </si>
  <si>
    <t xml:space="preserve">hdb106</t>
  </si>
  <si>
    <t xml:space="preserve">https://occult-kranti.github.io/fact-duel/hisaab/#/q/hdb106</t>
  </si>
  <si>
    <t xml:space="preserve">The Indian Express — Announced on Maya’s birthday, schemes executed in 20 days (5 Feb 2009)</t>
  </si>
  <si>
    <t xml:space="preserve">https://indianexpress.com/article/cities/lucknow/announced-on-maya-s-birthday-schemes-execut/</t>
  </si>
  <si>
    <t xml:space="preserve">in-rail-fare-cut-2009</t>
  </si>
  <si>
    <t xml:space="preserve">2009-02</t>
  </si>
  <si>
    <t xml:space="preserve">Interim Railway Budget fare cut</t>
  </si>
  <si>
    <t xml:space="preserve">Lalu Prasad (Union Railway Minister, RJD)</t>
  </si>
  <si>
    <t xml:space="preserve">2% cut in passenger fares across the board</t>
  </si>
  <si>
    <t xml:space="preserve">About ₹700 crore of passenger earnings</t>
  </si>
  <si>
    <t xml:space="preserve">Polling began 62 days later; the UPA returned to power.</t>
  </si>
  <si>
    <t xml:space="preserve">hpe010</t>
  </si>
  <si>
    <t xml:space="preserve">https://occult-kranti.github.io/fact-duel/hisaab/#/q/hpe010</t>
  </si>
  <si>
    <t xml:space="preserve">The Indian Express — 2% fare cut is the only Lalu stimulus (13 Feb 2009)</t>
  </si>
  <si>
    <t xml:space="preserve">https://indianexpress.com/article/india/india-others/2-fare-cut-is-the-only-lalu-stimulus/</t>
  </si>
  <si>
    <t xml:space="preserve">hr-old-age-allowance-2009</t>
  </si>
  <si>
    <t xml:space="preserve">2009-03</t>
  </si>
  <si>
    <t xml:space="preserve">Old Age Samman Allowance raised to ₹500–700</t>
  </si>
  <si>
    <t xml:space="preserve">Bhupinder Singh Hooda (Chief Minister, Haryana, INC)</t>
  </si>
  <si>
    <t xml:space="preserve">Old-age allowance raised from ₹300 to ₹500–700 a month</t>
  </si>
  <si>
    <t xml:space="preserve">Haryana Assembly 2009</t>
  </si>
  <si>
    <t xml:space="preserve">Congress won 40 of 90 seats and formed the government; INLD 31</t>
  </si>
  <si>
    <t xml:space="preserve">The Congress won 40 of 90 seats and formed the government; the allowance rose to ₹1,000 from January 2014.</t>
  </si>
  <si>
    <t xml:space="preserve">hdb107</t>
  </si>
  <si>
    <t xml:space="preserve">https://occult-kranti.github.io/fact-duel/hisaab/#/q/hdb107</t>
  </si>
  <si>
    <t xml:space="preserve">wb-cyclone-aila-2009</t>
  </si>
  <si>
    <t xml:space="preserve">Cyclone Aila relief</t>
  </si>
  <si>
    <t xml:space="preserve">Buddhadeb Bhattacharjee (Chief Minister, West Bengal, CPI(M))</t>
  </si>
  <si>
    <t xml:space="preserve">₹40 crore, free rice and dal, tarpaulins</t>
  </si>
  <si>
    <t xml:space="preserve">Over 40 lakh people affected</t>
  </si>
  <si>
    <t xml:space="preserve">A ₹5,032 crore embankment project followed; three years on, not a kilometre was complete (DTE).</t>
  </si>
  <si>
    <t xml:space="preserve">hrf205</t>
  </si>
  <si>
    <t xml:space="preserve">https://occult-kranti.github.io/fact-duel/hisaab/#/q/hrf205</t>
  </si>
  <si>
    <t xml:space="preserve">Frontline — Aila's wrath (19 Jun 2009)</t>
  </si>
  <si>
    <t xml:space="preserve">https://frontline.thehindu.com/the-nation/article30187387.ece</t>
  </si>
  <si>
    <t xml:space="preserve">ka-andhra-floods-2009</t>
  </si>
  <si>
    <t xml:space="preserve">Karnataka–Andhra floods central aid</t>
  </si>
  <si>
    <t xml:space="preserve">₹1,000 crore interim relief each for Karnataka and Andhra Pradesh; ₹1 lakh per death</t>
  </si>
  <si>
    <t xml:space="preserve">₹2,000 crore in interim aid, with more promised after central teams assessed the memoranda.</t>
  </si>
  <si>
    <t xml:space="preserve">hrf012</t>
  </si>
  <si>
    <t xml:space="preserve">https://occult-kranti.github.io/fact-duel/hisaab/#/q/hrf012</t>
  </si>
  <si>
    <t xml:space="preserve">The Hindu (IANS) — Manmohan winds up survey; announces Rs. 2,000 cr. relief (10 Oct 2009)</t>
  </si>
  <si>
    <t xml:space="preserve">https://www.thehindu.com/news/national/Manmohan-winds-up-survey-announces-Rs.-2000-cr.-relief/article16885881.ece</t>
  </si>
  <si>
    <t xml:space="preserve">in-sdrf-ndrf-2010</t>
  </si>
  <si>
    <t xml:space="preserve">2010</t>
  </si>
  <si>
    <t xml:space="preserve">SDRF and NDRF (13th Finance Commission)</t>
  </si>
  <si>
    <t xml:space="preserve">Old calamity funds folded into State and National Disaster Response Funds; Centre pays 75% (90% special-category)</t>
  </si>
  <si>
    <t xml:space="preserve">₹33,581 crore allocation (2010–15)</t>
  </si>
  <si>
    <t xml:space="preserve">NDRF releases peaked at ₹18,531 crore in 2019-20. CAG: only about ₹5,356 crore of ₹11,474 crore of 2024-25 NDRF aid reached states.</t>
  </si>
  <si>
    <t xml:space="preserve">hrf013; hrf027; hrf039</t>
  </si>
  <si>
    <t xml:space="preserve">https://occult-kranti.github.io/fact-duel/hisaab/#/q/hrf013 https://occult-kranti.github.io/fact-duel/hisaab/#/q/hrf027 https://occult-kranti.github.io/fact-duel/hisaab/#/q/hrf039</t>
  </si>
  <si>
    <t xml:space="preserve">Rajya Sabha Standing Committee on Home Affairs — 261st Report: Disaster Management (Aug 2026), para 2.13.4</t>
  </si>
  <si>
    <t xml:space="preserve">br-gujarat-kosi-aid-returned-2010</t>
  </si>
  <si>
    <t xml:space="preserve">2010-06</t>
  </si>
  <si>
    <t xml:space="preserve">Gujarat’s Kosi aid returned</t>
  </si>
  <si>
    <t xml:space="preserve">₹5 crore from the Gujarat government for 2008 Kosi flood victims, returned by Bihar</t>
  </si>
  <si>
    <t xml:space="preserve">Nitish Kumar returned the cheque after newspaper ads; Modi called the return ‘arrogant’ while campaigning in Bihar in 2015.</t>
  </si>
  <si>
    <t xml:space="preserve">hrf110</t>
  </si>
  <si>
    <t xml:space="preserve">https://occult-kranti.github.io/fact-duel/hisaab/#/q/hrf110</t>
  </si>
  <si>
    <t xml:space="preserve">Rediff — When Nitish cancelled the Modi dinner (book excerpt, 28 Feb 2014)</t>
  </si>
  <si>
    <t xml:space="preserve">https://www.rediff.com/news/slide-show/slide-show-1-when-nitish-cancelled-the-modi-dinner/20140228.htm</t>
  </si>
  <si>
    <t xml:space="preserve">in-igmsy-2010</t>
  </si>
  <si>
    <t xml:space="preserve">2010-10</t>
  </si>
  <si>
    <t xml:space="preserve">Indira Gandhi Matritva Sahyog Yojana</t>
  </si>
  <si>
    <t xml:space="preserve">₹4,000 for pregnant and lactating women, in 53 pilot districts</t>
  </si>
  <si>
    <t xml:space="preserve">A 2015 pledge to widen it to 200 districts was unmet by January 2017, when the nationwide PMMVY began.</t>
  </si>
  <si>
    <t xml:space="preserve">hdb015</t>
  </si>
  <si>
    <t xml:space="preserve">https://occult-kranti.github.io/fact-duel/hisaab/#/q/hdb015</t>
  </si>
  <si>
    <t xml:space="preserve">The Indian Express — Maternity benefit scheme: what PM Modi said, where things stand now (5 Jan 2017)</t>
  </si>
  <si>
    <t xml:space="preserve">https://indianexpress.com/article/explained/maternity-benefit-scheme-what-pm-modi-said-where-things-stand-now-4459269/</t>
  </si>
  <si>
    <t xml:space="preserve">up-garib-arthik-madad-2010</t>
  </si>
  <si>
    <t xml:space="preserve">2010-11</t>
  </si>
  <si>
    <t xml:space="preserve">Mahamaya Garib Arthik Madad Yojana</t>
  </si>
  <si>
    <t xml:space="preserve">₹300 a month to BPL families, paid to the woman head</t>
  </si>
  <si>
    <t xml:space="preserve">About 31 lakh people</t>
  </si>
  <si>
    <t xml:space="preserve">₹535 crore (first phase)</t>
  </si>
  <si>
    <t xml:space="preserve">Launched in all 72 districts at once; the first ₹1,800 instalment covered Oct 2010–Mar 2011.</t>
  </si>
  <si>
    <t xml:space="preserve">hdb108</t>
  </si>
  <si>
    <t xml:space="preserve">https://occult-kranti.github.io/fact-duel/hisaab/#/q/hdb108</t>
  </si>
  <si>
    <t xml:space="preserve">The Hindu — Mayawati launches welfare scheme for poor (2 Nov 2010)</t>
  </si>
  <si>
    <t xml:space="preserve">https://www.thehindu.com/news/national/other-states/Mayawati-launches-welfare-scheme-for-poor/article15672368.ece</t>
  </si>
  <si>
    <t xml:space="preserve">kl-karunya-benevolent-fund-2011</t>
  </si>
  <si>
    <t xml:space="preserve">2011</t>
  </si>
  <si>
    <t xml:space="preserve">Karunya Benevolent Fund</t>
  </si>
  <si>
    <t xml:space="preserve">UDF</t>
  </si>
  <si>
    <t xml:space="preserve">K.M. Mani (Finance Minister, Kerala, Kerala Congress (M))</t>
  </si>
  <si>
    <t xml:space="preserve">Lottery profits pay poor patients’ treatment for cancer, heart and kidney disease</t>
  </si>
  <si>
    <t xml:space="preserve">Nearly 1.5 lakh patients</t>
  </si>
  <si>
    <t xml:space="preserve">About ₹1,400 crore (claimed)</t>
  </si>
  <si>
    <t xml:space="preserve">Folded into the Karunya Arogya Suraksha Padhathi insurance from April 2019.</t>
  </si>
  <si>
    <t xml:space="preserve">hdb405</t>
  </si>
  <si>
    <t xml:space="preserve">https://occult-kranti.github.io/fact-duel/hisaab/#/q/hdb405</t>
  </si>
  <si>
    <t xml:space="preserve">The New Indian Express — Legacy lingers post KM Mani’s death (9 Apr 2019)</t>
  </si>
  <si>
    <t xml:space="preserve">https://www.newindianexpress.com/states/kerala/2019/Apr/09/legacy-lingers-post-km-manis-death-1962419.html</t>
  </si>
  <si>
    <t xml:space="preserve">kl-rice-2-apl-2011</t>
  </si>
  <si>
    <t xml:space="preserve">₹2 rice for APL card holders (Kerala)</t>
  </si>
  <si>
    <t xml:space="preserve">C. Divakaran (Food and Civil Supplies Minister, Kerala, CPI)</t>
  </si>
  <si>
    <t xml:space="preserve">6–10 kg of rice a month at ₹2 a kg for above-poverty-line cards</t>
  </si>
  <si>
    <t xml:space="preserve">₹250 crore in the budget</t>
  </si>
  <si>
    <t xml:space="preserve">Kerala Assembly 2011</t>
  </si>
  <si>
    <t xml:space="preserve">2011-04</t>
  </si>
  <si>
    <t xml:space="preserve">UDF won 72 of 140; LDF 68</t>
  </si>
  <si>
    <t xml:space="preserve">The EC held it up during the poll; the UDF won 72 of 140 to the LDF’s 68.</t>
  </si>
  <si>
    <t xml:space="preserve">hpe109</t>
  </si>
  <si>
    <t xml:space="preserve">https://occult-kranti.github.io/fact-duel/hisaab/#/q/hpe109</t>
  </si>
  <si>
    <t xml:space="preserve">The Hindu — Rice at Rs. 2 a kg in a day or two (19 Apr 2011)</t>
  </si>
  <si>
    <t xml:space="preserve">https://www.thehindu.com/news/national/kerala/Rice-at-Rs.-2-a-kg-in-a-day-or-two/article14689272.ece</t>
  </si>
  <si>
    <t xml:space="preserve">mz-nlup-2011</t>
  </si>
  <si>
    <t xml:space="preserve">2011-01</t>
  </si>
  <si>
    <t xml:space="preserve">New Land Use Policy</t>
  </si>
  <si>
    <t xml:space="preserve">Lalthanhawla (Chief Minister, Mizoram, INC)</t>
  </si>
  <si>
    <t xml:space="preserve">₹1.26 lakh per beneficiary over five years to move farmers off jhum cultivation</t>
  </si>
  <si>
    <t xml:space="preserve">1.2 lakh farmers</t>
  </si>
  <si>
    <t xml:space="preserve">₹2,873.13 crore</t>
  </si>
  <si>
    <t xml:space="preserve">The Congress was re-elected in 2013 with 34 of 40 seats, then fell to five in 2018.</t>
  </si>
  <si>
    <t xml:space="preserve">hdb325</t>
  </si>
  <si>
    <t xml:space="preserve">https://occult-kranti.github.io/fact-duel/hisaab/#/q/hdb325</t>
  </si>
  <si>
    <t xml:space="preserve">up-mayawati-birthday-projects-2011</t>
  </si>
  <si>
    <t xml:space="preserve">Mayawati’s birthday projects</t>
  </si>
  <si>
    <t xml:space="preserve">699 projects and schemes, a 10% DA rise, mobile hospital vans and a public-services law</t>
  </si>
  <si>
    <t xml:space="preserve">More than ₹4,000 crore</t>
  </si>
  <si>
    <t xml:space="preserve">UP Assembly 2012</t>
  </si>
  <si>
    <t xml:space="preserve">2012-02</t>
  </si>
  <si>
    <t xml:space="preserve">SP won 224 of 403 seats; the BSP lost power</t>
  </si>
  <si>
    <t xml:space="preserve">The SP won 224 of 403 seats in 2012, ending BSP rule.</t>
  </si>
  <si>
    <t xml:space="preserve">hpe204</t>
  </si>
  <si>
    <t xml:space="preserve">https://occult-kranti.github.io/fact-duel/hisaab/#/q/hpe204</t>
  </si>
  <si>
    <t xml:space="preserve">India Today — Maya gifts 699 projects on b'day (16 Jan 2011)</t>
  </si>
  <si>
    <t xml:space="preserve">https://www.indiatoday.in/india/north/story/up-mayawati-gifts-699-welfare-schemes-projects-on-bday-126665-2011-01-15</t>
  </si>
  <si>
    <t xml:space="preserve">wb-iit-kharagpur-grant-2011</t>
  </si>
  <si>
    <t xml:space="preserve">2011-02</t>
  </si>
  <si>
    <t xml:space="preserve">Budget 2011-12: IIT Kharagpur grant</t>
  </si>
  <si>
    <t xml:space="preserve">₹200 crore one-time grant to IIT Kharagpur, plus grants to Kolkata institutions</t>
  </si>
  <si>
    <t xml:space="preserve">West Bengal Assembly 2011</t>
  </si>
  <si>
    <t xml:space="preserve">Trinamool Congress won 184 of 294 seats; Left Front fell to 61, ending 34 years in power</t>
  </si>
  <si>
    <t xml:space="preserve">The TMC won 184 of 294 seats, ending 34 years of Left rule. No cited source ties the result to the budget.</t>
  </si>
  <si>
    <t xml:space="preserve">hpe013</t>
  </si>
  <si>
    <t xml:space="preserve">https://occult-kranti.github.io/fact-duel/hisaab/#/q/hpe013</t>
  </si>
  <si>
    <t xml:space="preserve">indiabudget.gov.in — Budget Speech 2011-12, Pranab Mukherjee (28 Feb 2011)</t>
  </si>
  <si>
    <t xml:space="preserve">https://www.indiabudget.gov.in/budget2011-2012/ub2011-12/bs/bs.pdf</t>
  </si>
  <si>
    <t xml:space="preserve">tn-mixies-grinders-fans-2011</t>
  </si>
  <si>
    <t xml:space="preserve">2011-06</t>
  </si>
  <si>
    <t xml:space="preserve">Mixers, grinders and fans</t>
  </si>
  <si>
    <t xml:space="preserve">A mixer, a grinder and a fan for women, in phases</t>
  </si>
  <si>
    <t xml:space="preserve">About 1.83 crore women (25 lakh packages in 2011-12)</t>
  </si>
  <si>
    <t xml:space="preserve">The SC held in 2013 that such promises are not a corrupt practice; in August 2022 it said a three-judge bench would reconsider that.</t>
  </si>
  <si>
    <t xml:space="preserve">hdb211; hpe113</t>
  </si>
  <si>
    <t xml:space="preserve">https://occult-kranti.github.io/fact-duel/hisaab/#/q/hdb211 https://occult-kranti.github.io/fact-duel/hisaab/#/q/hpe113</t>
  </si>
  <si>
    <t xml:space="preserve">The Indian Express — A little bit more: How Jayalalithaa’s freebies compare to what she’s offered before (6 May 2016)</t>
  </si>
  <si>
    <t xml:space="preserve">https://indianexpress.com/article/india/india-news-india/a-little-bit-more-how-ammas-freebies-compare-to-what-shes-offered-before-2787325/</t>
  </si>
  <si>
    <t xml:space="preserve">sk-earthquake-central-aid-2011</t>
  </si>
  <si>
    <t xml:space="preserve">2011-09</t>
  </si>
  <si>
    <t xml:space="preserve">Sikkim earthquake central aid</t>
  </si>
  <si>
    <t xml:space="preserve">SK</t>
  </si>
  <si>
    <t xml:space="preserve">Sikkim</t>
  </si>
  <si>
    <t xml:space="preserve">₹1,000 crore for relief and rehabilitation</t>
  </si>
  <si>
    <t xml:space="preserve">Against a state damage estimate of about ₹1 lakh crore; an expert team on quake-safe rebuilding was to follow.</t>
  </si>
  <si>
    <t xml:space="preserve">hrf014</t>
  </si>
  <si>
    <t xml:space="preserve">https://occult-kranti.github.io/fact-duel/hisaab/#/q/hrf014</t>
  </si>
  <si>
    <t xml:space="preserve">The Hindu — Rs.1,000-crore Central aid for quake-hit Sikkim (29 Sep 2011)</t>
  </si>
  <si>
    <t xml:space="preserve">https://www.thehindu.com/news/national/rs1000crore-central-aid-for-quakehit-sikkim/article2497796.ece</t>
  </si>
  <si>
    <t xml:space="preserve">tn-free-laptops-2011</t>
  </si>
  <si>
    <t xml:space="preserve">Free laptop scheme (Tamil Nadu)</t>
  </si>
  <si>
    <t xml:space="preserve">Free laptops for Class 12 and college students</t>
  </si>
  <si>
    <t xml:space="preserve">51.67 lakh laptops by 2019</t>
  </si>
  <si>
    <t xml:space="preserve">₹6,456 crore initial; ₹7,257.61 crore by 2019</t>
  </si>
  <si>
    <t xml:space="preserve">Halted in Covid and discontinued in 2021; the DMK revived laptops or tablets in its 2025-26 budget.</t>
  </si>
  <si>
    <t xml:space="preserve">hdb212</t>
  </si>
  <si>
    <t xml:space="preserve">https://occult-kranti.github.io/fact-duel/hisaab/#/q/hdb212</t>
  </si>
  <si>
    <t xml:space="preserve">The New Indian Express — 100 percentage free laptops distributed to all (4 Feb 2016)</t>
  </si>
  <si>
    <t xml:space="preserve">https://www.newindianexpress.com/states/tamil-nadu/2016/Feb/04/100-percentage-free-laptops-distributed-to-all-888402.html</t>
  </si>
  <si>
    <t xml:space="preserve">rj-free-medicines-2011</t>
  </si>
  <si>
    <t xml:space="preserve">2011-10</t>
  </si>
  <si>
    <t xml:space="preserve">Mukhyamantri Nishulk Dawa Yojana</t>
  </si>
  <si>
    <t xml:space="preserve">Free essential medicines at government health centres</t>
  </si>
  <si>
    <t xml:space="preserve">52.4 crore beneficiary visits (Oct 2011–Dec 2017)</t>
  </si>
  <si>
    <t xml:space="preserve">It ran through the BJP’s 2013–18 term; the 2019 budget widened it to 712 medicines and 90 tests.</t>
  </si>
  <si>
    <t xml:space="preserve">hdb109</t>
  </si>
  <si>
    <t xml:space="preserve">https://occult-kranti.github.io/fact-duel/hisaab/#/q/hdb109</t>
  </si>
  <si>
    <t xml:space="preserve">The Indian Express — Explained: What is Rajasthan’s free medicine scheme (13 Jul 2019)</t>
  </si>
  <si>
    <t xml:space="preserve">https://indianexpress.com/article/explained/explained-rajasthan-free-medicine-scheme-5827614/</t>
  </si>
  <si>
    <t xml:space="preserve">mh-drought-fodder-camps-2012</t>
  </si>
  <si>
    <t xml:space="preserve">2012</t>
  </si>
  <si>
    <t xml:space="preserve">Drought fodder camps (Maharashtra)</t>
  </si>
  <si>
    <t xml:space="preserve">Prithviraj Chavan (Chief Minister, Maharashtra, INC)</t>
  </si>
  <si>
    <t xml:space="preserve">553 fodder camps for 4.52 lakh cattle; water tankers to 1,663 villages</t>
  </si>
  <si>
    <t xml:space="preserve">₹749.29 crore for camps; ₹2,000 crore on relief</t>
  </si>
  <si>
    <t xml:space="preserve">Down To Earth argued villages with the most sugarcane were among the worst hit for drinking water.</t>
  </si>
  <si>
    <t xml:space="preserve">hrf113</t>
  </si>
  <si>
    <t xml:space="preserve">https://occult-kranti.github.io/fact-duel/hisaab/#/q/hrf113</t>
  </si>
  <si>
    <t xml:space="preserve">Down To Earth — Drought of equity (15 Mar 2013)</t>
  </si>
  <si>
    <t xml:space="preserve">https://www.downtoearth.org.in/environment/drought-of-equity-40606</t>
  </si>
  <si>
    <t xml:space="preserve">up-free-laptops-2012</t>
  </si>
  <si>
    <t xml:space="preserve">Free laptops (UP, 2012–14)</t>
  </si>
  <si>
    <t xml:space="preserve">Akhilesh Yadav (Chief Minister, Uttar Pradesh, SP)</t>
  </si>
  <si>
    <t xml:space="preserve">Free laptops for Class 12 passouts</t>
  </si>
  <si>
    <t xml:space="preserve">14.35 lakh laptops handed out</t>
  </si>
  <si>
    <t xml:space="preserve">₹2,822.71 crore</t>
  </si>
  <si>
    <t xml:space="preserve">CAG (2015): 4.55 lakh eligible students left out, ₹598.33 crore unspent; the tablet plan was dropped.</t>
  </si>
  <si>
    <t xml:space="preserve">hdb111</t>
  </si>
  <si>
    <t xml:space="preserve">https://occult-kranti.github.io/fact-duel/hisaab/#/q/hdb111</t>
  </si>
  <si>
    <t xml:space="preserve">The Indian Express — Free laptops: CAG punches holes, says excessively funded yet short of target (27 Mar 2015)</t>
  </si>
  <si>
    <t xml:space="preserve">https://indianexpress.com/article/cities/lucknow/free-laptops-cag-punches-holes-says-excessively-funded-yet-short-of-target/</t>
  </si>
  <si>
    <t xml:space="preserve">tn-cyclone-thane-2012</t>
  </si>
  <si>
    <t xml:space="preserve">2012-01</t>
  </si>
  <si>
    <t xml:space="preserve">Cyclone Thane: interim central relief</t>
  </si>
  <si>
    <t xml:space="preserve">₹500 crore for Tamil Nadu and ₹125 crore for Puducherry</t>
  </si>
  <si>
    <t xml:space="preserve">Against about ₹5,250 crore sought; Cuddalore alone accounted for over ₹4,000 crore of losses.</t>
  </si>
  <si>
    <t xml:space="preserve">hrf206</t>
  </si>
  <si>
    <t xml:space="preserve">https://occult-kranti.github.io/fact-duel/hisaab/#/q/hrf206</t>
  </si>
  <si>
    <t xml:space="preserve">The Hindu — Rs. 500-crore cyclone relief from Centre (10 Jan 2012)</t>
  </si>
  <si>
    <t xml:space="preserve">https://www.thehindu.com/news/national/tamil-nadu/rs-500crore-cyclone-relief-from-centre/article2790513.ece</t>
  </si>
  <si>
    <t xml:space="preserve">ga-griha-aadhar-2012</t>
  </si>
  <si>
    <t xml:space="preserve">2012-03</t>
  </si>
  <si>
    <t xml:space="preserve">Griha Aadhar</t>
  </si>
  <si>
    <t xml:space="preserve">Manohar Parrikar (Chief Minister, Goa (announced it in the 2012 budget), BJP)</t>
  </si>
  <si>
    <t xml:space="preserve">Monthly allowance for married women in households under ₹3 lakh: ₹1,000 at start, ₹1,500 in 2026</t>
  </si>
  <si>
    <t xml:space="preserve">₹249 crore (2026-27 budget)</t>
  </si>
  <si>
    <t xml:space="preserve">First sanction letters went out in Jan 2013; 50,000 beneficiaries were put on hold in May 2026 for missing certificates.</t>
  </si>
  <si>
    <t xml:space="preserve">hdb217; hst218</t>
  </si>
  <si>
    <t xml:space="preserve">https://occult-kranti.github.io/fact-duel/hisaab/#/q/hdb217 https://occult-kranti.github.io/fact-duel/hisaab/#/q/hst218</t>
  </si>
  <si>
    <t xml:space="preserve">Times of India — 'Griha Aadhar' scheme to be launched today (4 Jan 2013)</t>
  </si>
  <si>
    <t xml:space="preserve">https://timesofindia.indiatimes.com/city/goa/griha-aadhar-scheme-to-be-launched-today/articleshow/17879571.cms</t>
  </si>
  <si>
    <t xml:space="preserve">up-unemployment-allowance-2012</t>
  </si>
  <si>
    <t xml:space="preserve">Unemployment allowance (UP, 2012)</t>
  </si>
  <si>
    <t xml:space="preserve">₹1,000 a month for registered jobseekers over 35</t>
  </si>
  <si>
    <t xml:space="preserve">About 9 lakh</t>
  </si>
  <si>
    <t xml:space="preserve">₹1,100 crore a year (estimate); ₹20.58 crore paid in 2012-13</t>
  </si>
  <si>
    <t xml:space="preserve">An SP poll promise; the CAG found ₹15.06 crore spent on functions to hand out ₹20.58 crore of cheques.</t>
  </si>
  <si>
    <t xml:space="preserve">hpe110; hdb110</t>
  </si>
  <si>
    <t xml:space="preserve">https://occult-kranti.github.io/fact-duel/hisaab/#/q/hpe110 https://occult-kranti.github.io/fact-duel/hisaab/#/q/hdb110</t>
  </si>
  <si>
    <t xml:space="preserve">The Hindu — Slew of populist measures by Akhilesh on Day 1 (15 Mar 2012)</t>
  </si>
  <si>
    <t xml:space="preserve">https://www.thehindu.com/news/national/slew-of-populist-measures-by-akhilesh-on-day-1/article2998039.ece</t>
  </si>
  <si>
    <t xml:space="preserve">as-floods-central-aid-2012</t>
  </si>
  <si>
    <t xml:space="preserve">2012-07</t>
  </si>
  <si>
    <t xml:space="preserve">Assam floods ad hoc central aid</t>
  </si>
  <si>
    <t xml:space="preserve">₹500 crore ad hoc assistance announced after an aerial survey</t>
  </si>
  <si>
    <t xml:space="preserve">Nearly 20 lakh people in over 2,000 villages affected</t>
  </si>
  <si>
    <t xml:space="preserve">Announced with 4.84 lakh people in 768 relief camps and 6.58 lakh hectares of crops submerged.</t>
  </si>
  <si>
    <t xml:space="preserve">hrf015</t>
  </si>
  <si>
    <t xml:space="preserve">https://occult-kranti.github.io/fact-duel/hisaab/#/q/hrf015</t>
  </si>
  <si>
    <t xml:space="preserve">Rediff (PTI) — Assam floods: PM announces Rs 500 crore aid (2 Jul 2012)</t>
  </si>
  <si>
    <t xml:space="preserve">https://www.rediff.com/news/slide-show/slide-show-1-assam-floods-77-dead-pm-announces-rs-500-crore-aid/20120702.htm</t>
  </si>
  <si>
    <t xml:space="preserve">ct-food-security-act-2012</t>
  </si>
  <si>
    <t xml:space="preserve">2012-12</t>
  </si>
  <si>
    <t xml:space="preserve">Chhattisgarh Food Security Act</t>
  </si>
  <si>
    <t xml:space="preserve">A legal food guarantee for almost 90% of the state’s people, passed ahead of the national law</t>
  </si>
  <si>
    <t xml:space="preserve">About 50 lakh families</t>
  </si>
  <si>
    <t xml:space="preserve">Over ₹2,311 crore</t>
  </si>
  <si>
    <t xml:space="preserve">Chhattisgarh Assembly 2013</t>
  </si>
  <si>
    <t xml:space="preserve">2013-11</t>
  </si>
  <si>
    <t xml:space="preserve">BJP won 49 of 90; Congress 39</t>
  </si>
  <si>
    <t xml:space="preserve">The BJP won a third straight term in November 2013 with 49 of 90 seats; the Congress took 39.</t>
  </si>
  <si>
    <t xml:space="preserve">hpe111</t>
  </si>
  <si>
    <t xml:space="preserve">https://occult-kranti.github.io/fact-duel/hisaab/#/q/hpe111</t>
  </si>
  <si>
    <t xml:space="preserve">Mint — Chhattisgarh food security Bill puts UPA under pressure (26 Dec 2012)</t>
  </si>
  <si>
    <t xml:space="preserve">https://www.livemint.com/Politics/bS3giFXXxO7vUaLtUmJLBK/Chhattisgarh-food-security-Bill-puts-UPA-under-pressure.html</t>
  </si>
  <si>
    <t xml:space="preserve">dl-annashree-2012</t>
  </si>
  <si>
    <t xml:space="preserve">Dilli Annashree Yojana</t>
  </si>
  <si>
    <t xml:space="preserve">₹600 a month to the senior-most woman of poor families not covered by other schemes</t>
  </si>
  <si>
    <t xml:space="preserve">About 2 lakh families</t>
  </si>
  <si>
    <t xml:space="preserve">Delhi Assembly 2013</t>
  </si>
  <si>
    <t xml:space="preserve">2013-12</t>
  </si>
  <si>
    <t xml:space="preserve">BJP 31, AAP 28, Congress 8 of 70</t>
  </si>
  <si>
    <t xml:space="preserve">In the December 2013 poll the Congress fell to 8 of 70 seats; the BJP won 31 and the AAP 28.</t>
  </si>
  <si>
    <t xml:space="preserve">hpe112</t>
  </si>
  <si>
    <t xml:space="preserve">https://occult-kranti.github.io/fact-duel/hisaab/#/q/hpe112</t>
  </si>
  <si>
    <t xml:space="preserve">India Today — Rs 600 per month enough to support a family of five, says Sheila Dikshit (16 Dec 2012)</t>
  </si>
  <si>
    <t xml:space="preserve">https://www.indiatoday.in/india/north/story/sheila-dikshit-rs-600-per-month-dal-roti-chawal-family-of-five-india-today-124449-2012-12-15</t>
  </si>
  <si>
    <t xml:space="preserve">hp-scholarship-payouts-2013</t>
  </si>
  <si>
    <t xml:space="preserve">2013</t>
  </si>
  <si>
    <t xml:space="preserve">Scholarship payouts (Himachal, 2013–17)</t>
  </si>
  <si>
    <t xml:space="preserve">HP</t>
  </si>
  <si>
    <t xml:space="preserve">Himachal Pradesh</t>
  </si>
  <si>
    <t xml:space="preserve">Scholarships for students, about 80% of which went to private institutions</t>
  </si>
  <si>
    <t xml:space="preserve">About 32,000 students went unpaid</t>
  </si>
  <si>
    <t xml:space="preserve">CBI case (2019): chargesheet in March 2024 against 20 institutions and 105 people over about ₹181 crore of alleged fake claims (2013–17).</t>
  </si>
  <si>
    <t xml:space="preserve">hst123</t>
  </si>
  <si>
    <t xml:space="preserve">https://occult-kranti.github.io/fact-duel/hisaab/#/q/hst123</t>
  </si>
  <si>
    <t xml:space="preserve">The Hindu — Himachal scholarship scam: CBI files charge sheet against 20 institutes, 105 individuals (29 Mar 2024)</t>
  </si>
  <si>
    <t xml:space="preserve">https://www.thehindu.com/news/national/himachal-pradesh/himachal-multi-crore-scholarship-scam-cbi-files-charge-sheet-against-20-institutes-105-individuals/article68005966.ece</t>
  </si>
  <si>
    <t xml:space="preserve">in-dbt-rollout-2013</t>
  </si>
  <si>
    <t xml:space="preserve">2013-01</t>
  </si>
  <si>
    <t xml:space="preserve">Direct Benefit Transfer</t>
  </si>
  <si>
    <t xml:space="preserve">Jairam Ramesh (Union Rural Development Minister (launched DBT in Andhra Pradesh, 2013), INC)</t>
  </si>
  <si>
    <t xml:space="preserve">Aadhaar-linked cash transfers for pensions, scholarships and MGNREGS wages</t>
  </si>
  <si>
    <t xml:space="preserve">320 schemes across 56 ministries (2026)</t>
  </si>
  <si>
    <t xml:space="preserve">The DBT portal credits it with ₹5.14 lakh crore of ‘estimated gains’ (govt figure); researchers want exclusion errors evaluated.</t>
  </si>
  <si>
    <t xml:space="preserve">hsc056; hsc055</t>
  </si>
  <si>
    <t xml:space="preserve">https://occult-kranti.github.io/fact-duel/hisaab/#/q/hsc056 https://occult-kranti.github.io/fact-duel/hisaab/#/q/hsc055</t>
  </si>
  <si>
    <t xml:space="preserve">The Hindu — Direct Benefit Transfer scheme finally gets going (7 Jan 2013)</t>
  </si>
  <si>
    <t xml:space="preserve">https://www.thehindu.com/todays-paper/direct-benefit-transfer-scheme-finally-gets-going/article4281371.ece</t>
  </si>
  <si>
    <t xml:space="preserve">ct-budget-2013-raipur</t>
  </si>
  <si>
    <t xml:space="preserve">2013-02</t>
  </si>
  <si>
    <t xml:space="preserve">Budget 2013-14: Raipur institute</t>
  </si>
  <si>
    <t xml:space="preserve">A National Institute of Biotic Stress Management at Raipur; ₹1,000 crore for eastern green-revolution states</t>
  </si>
  <si>
    <t xml:space="preserve">BJP retained power with 49 of 90 seats; Congress 39</t>
  </si>
  <si>
    <t xml:space="preserve">The BJP retained Chhattisgarh in November 2013 with 49 of 90 seats.</t>
  </si>
  <si>
    <t xml:space="preserve">hpe017</t>
  </si>
  <si>
    <t xml:space="preserve">https://occult-kranti.github.io/fact-duel/hisaab/#/q/hpe017</t>
  </si>
  <si>
    <t xml:space="preserve">indiabudget.gov.in — Budget Speech 2013-14, P. Chidambaram (28 Feb 2013)</t>
  </si>
  <si>
    <t xml:space="preserve">https://www.indiabudget.gov.in/budget2013-2014/ub2013-14/bs/bs.pdf</t>
  </si>
  <si>
    <t xml:space="preserve">od-rice-1-a-kg-2013</t>
  </si>
  <si>
    <t xml:space="preserve">Rice at ₹1 a kg (Odisha)</t>
  </si>
  <si>
    <t xml:space="preserve">25 kg a month at ₹1 a kg for BPL families</t>
  </si>
  <si>
    <t xml:space="preserve">The BJD won 117 of 147 in 2014; a state food scheme for 25 lakh people outside the NFSA followed in 2018.</t>
  </si>
  <si>
    <t xml:space="preserve">hdb314</t>
  </si>
  <si>
    <t xml:space="preserve">https://occult-kranti.github.io/fact-duel/hisaab/#/q/hdb314</t>
  </si>
  <si>
    <t xml:space="preserve">Frontline — Egg on the face (3 Feb 2016)</t>
  </si>
  <si>
    <t xml:space="preserve">https://frontline.thehindu.com/the-nation/egg-on-the-face/article8182741.ece</t>
  </si>
  <si>
    <t xml:space="preserve">tn-amma-canteens-2013</t>
  </si>
  <si>
    <t xml:space="preserve">Amma Canteens</t>
  </si>
  <si>
    <t xml:space="preserve">J. Jayalalithaa (Chief Minister, Tamil Nadu (launched it, Feb 2013), AIADMK)</t>
  </si>
  <si>
    <t xml:space="preserve">Subsidised meals, including about 45 lakh idlis a day at breakfast</t>
  </si>
  <si>
    <t xml:space="preserve">About 400 canteens (2021)</t>
  </si>
  <si>
    <t xml:space="preserve">The DMK kept the scheme and its name in 2021 and announced 200 more canteens.</t>
  </si>
  <si>
    <t xml:space="preserve">hst250</t>
  </si>
  <si>
    <t xml:space="preserve">https://occult-kranti.github.io/fact-duel/hisaab/#/q/hst250</t>
  </si>
  <si>
    <t xml:space="preserve">Down To Earth — How Tamil Nadu’s Amma Canteen scheme stood the test of time (5 Jul 2021)</t>
  </si>
  <si>
    <t xml:space="preserve">https://www.downtoearth.org.in/governance/how-tamil-nadu-s-amma-canteen-scheme-stood-the-test-of-time-77776</t>
  </si>
  <si>
    <t xml:space="preserve">in-iay-grant-2013</t>
  </si>
  <si>
    <t xml:space="preserve">2013-04</t>
  </si>
  <si>
    <t xml:space="preserve">Indira Awaas Yojana grant raised</t>
  </si>
  <si>
    <t xml:space="preserve">P. Chidambaram (Union Finance Minister (IAY allocation, Budget 2013-14), INC)</t>
  </si>
  <si>
    <t xml:space="preserve">Grant for a new rural house raised from ₹45,000 to ₹70,000 (₹75,000 in hill areas)</t>
  </si>
  <si>
    <t xml:space="preserve">₹15,184 crore (Budget 2013-14)</t>
  </si>
  <si>
    <t xml:space="preserve">10.93 lakh of 24.81 lakh targeted houses were built in 2013-14 (Economic Survey).</t>
  </si>
  <si>
    <t xml:space="preserve">hdb406</t>
  </si>
  <si>
    <t xml:space="preserve">https://occult-kranti.github.io/fact-duel/hisaab/#/q/hdb406</t>
  </si>
  <si>
    <t xml:space="preserve">Ministry of Finance — Economic Survey 2012-13, Chapter 13 (2013)</t>
  </si>
  <si>
    <t xml:space="preserve">https://www.indiabudget.gov.in/budget2013-2014/es2012-13/echap-13.pdf</t>
  </si>
  <si>
    <t xml:space="preserve">mp-annapurna-2013</t>
  </si>
  <si>
    <t xml:space="preserve">Mukhyamantri Annapurna Yojana</t>
  </si>
  <si>
    <t xml:space="preserve">Wheat and salt at ₹1 a kg and rice at ₹2 for poor families</t>
  </si>
  <si>
    <t xml:space="preserve">About 74 lakh households</t>
  </si>
  <si>
    <t xml:space="preserve">₹1,000 crore of state funds</t>
  </si>
  <si>
    <t xml:space="preserve">Madhya Pradesh Assembly 2013</t>
  </si>
  <si>
    <t xml:space="preserve">BJP retained power with 165 of 230 seats</t>
  </si>
  <si>
    <t xml:space="preserve">At one second-phase launch thousands went home empty-handed; the BJP won 165 of 230 in November 2013.</t>
  </si>
  <si>
    <t xml:space="preserve">hdb214</t>
  </si>
  <si>
    <t xml:space="preserve">https://occult-kranti.github.io/fact-duel/hisaab/#/q/hdb214</t>
  </si>
  <si>
    <t xml:space="preserve">Times of India — Madhya Pradesh using its finances for Annapurna scheme: Govt (5 Jun 2013)</t>
  </si>
  <si>
    <t xml:space="preserve">https://timesofindia.indiatimes.com/city/bhopal/madhya-pradesh-using-its-finances-for-annapurna-scheme-govt/articleshow/20434115.cms</t>
  </si>
  <si>
    <t xml:space="preserve">rj-free-tests-2013</t>
  </si>
  <si>
    <t xml:space="preserve">Free diagnostic tests (Rajasthan)</t>
  </si>
  <si>
    <t xml:space="preserve">Free diagnostic tests added to the free-medicine scheme</t>
  </si>
  <si>
    <t xml:space="preserve">Free medicines ₹341 crore (2012-13)</t>
  </si>
  <si>
    <t xml:space="preserve">Rajasthan Assembly 2013</t>
  </si>
  <si>
    <t xml:space="preserve">BJP won 163 of 200 seats; Congress 21</t>
  </si>
  <si>
    <t xml:space="preserve">The BJP won 163 of 200 seats in December 2013; the Congress fell to 21.</t>
  </si>
  <si>
    <t xml:space="preserve">hpe206</t>
  </si>
  <si>
    <t xml:space="preserve">https://occult-kranti.github.io/fact-duel/hisaab/#/q/hpe206</t>
  </si>
  <si>
    <t xml:space="preserve">The New Indian Express — Vasundhara Raje: 'Maharani' CM's raj loses to Congress (11 Dec 2018)</t>
  </si>
  <si>
    <t xml:space="preserve">https://www.newindianexpress.com/elections/rajasthan-elections/2018/Dec/11/vasundhara-raje-maharani-cms-raj-loses-to-congress-to-fight-another-day-1910126.html</t>
  </si>
  <si>
    <t xml:space="preserve">ka-anna-bhagya-2013</t>
  </si>
  <si>
    <t xml:space="preserve">2013-05</t>
  </si>
  <si>
    <t xml:space="preserve">Anna Bhagya (₹1 rice)</t>
  </si>
  <si>
    <t xml:space="preserve">Siddaramaiah (Chief Minister, Karnataka, INC)</t>
  </si>
  <si>
    <t xml:space="preserve">30 kg of rice a month at ₹1 a kg for BPL families</t>
  </si>
  <si>
    <t xml:space="preserve">About 98 lakh BPL families</t>
  </si>
  <si>
    <t xml:space="preserve">About ₹4,200 crore a year</t>
  </si>
  <si>
    <t xml:space="preserve">Ragi, jowar and wheat were added at ₹1 a kg; the 2023 version promised 10 kg free per person.</t>
  </si>
  <si>
    <t xml:space="preserve">hdb215</t>
  </si>
  <si>
    <t xml:space="preserve">https://occult-kranti.github.io/fact-duel/hisaab/#/q/hdb215</t>
  </si>
  <si>
    <t xml:space="preserve">The New Indian Express — Karnataka to sell wheat, millets at Re 1 per kg to poor (26 Aug 2013)</t>
  </si>
  <si>
    <t xml:space="preserve">https://www.newindianexpress.com/states/karnataka/2013/Aug/26/karnataka-to-sell-wheat-millets-at-re.1-per-kg-to-poor-510572.html</t>
  </si>
  <si>
    <t xml:space="preserve">in-dbtl-lpg-2013</t>
  </si>
  <si>
    <t xml:space="preserve">2013-06</t>
  </si>
  <si>
    <t xml:space="preserve">LPG subsidy cash transfer (DBTL)</t>
  </si>
  <si>
    <t xml:space="preserve">M. Veerappa Moily (Union Petroleum &amp; Natural Gas Minister, INC)</t>
  </si>
  <si>
    <t xml:space="preserve">₹435 per refill into bank accounts, up to nine subsidised cylinders a year</t>
  </si>
  <si>
    <t xml:space="preserve">2.1 crore consumers in 291 districts</t>
  </si>
  <si>
    <t xml:space="preserve">₹3,370 crore transferred by Feb 2014</t>
  </si>
  <si>
    <t xml:space="preserve">Put on hold in January 2014; relaunched as PAHAL in November 2014.</t>
  </si>
  <si>
    <t xml:space="preserve">hdb017</t>
  </si>
  <si>
    <t xml:space="preserve">https://occult-kranti.github.io/fact-duel/hisaab/#/q/hdb017</t>
  </si>
  <si>
    <t xml:space="preserve">The Hindu — LPG subsidy to be credited directly in bank accounts from June 1 in 18 districts (29 May 2013)</t>
  </si>
  <si>
    <t xml:space="preserve">https://www.thehindu.com/business/Economy/lpg-subsidy-to-be-credited-directly-in-bank-accounts-from-june-1-in-18-districts/article4762963.ece</t>
  </si>
  <si>
    <t xml:space="preserve">ut-cm-relief-fund-2013</t>
  </si>
  <si>
    <t xml:space="preserve">CM’s relief fund after the Kedarnath floods</t>
  </si>
  <si>
    <t xml:space="preserve">UT</t>
  </si>
  <si>
    <t xml:space="preserve">Uttarakhand</t>
  </si>
  <si>
    <t xml:space="preserve">Public and corporate donations for flood relief</t>
  </si>
  <si>
    <t xml:space="preserve">Over ₹181 crore in three weeks (Coal India ₹50 crore)</t>
  </si>
  <si>
    <t xml:space="preserve">CM Vijay Bahuguna resigned in January 2014 after criticism of the slow rescue.</t>
  </si>
  <si>
    <t xml:space="preserve">hrf111</t>
  </si>
  <si>
    <t xml:space="preserve">https://occult-kranti.github.io/fact-duel/hisaab/#/q/hrf111</t>
  </si>
  <si>
    <t xml:space="preserve">Business Standard — Uttarakhand donations top Rs 180 crore (5 Jul 2013)</t>
  </si>
  <si>
    <t xml:space="preserve">https://www.business-standard.com/article/specials/uttarakhand-donations-top-rs-180-crore-113070500577_1.html</t>
  </si>
  <si>
    <t xml:space="preserve">ut-flood-relief-spending-2013</t>
  </si>
  <si>
    <t xml:space="preserve">Uttarakhand 2013 flood relief (state spending)</t>
  </si>
  <si>
    <t xml:space="preserve">Relief and restoration after the 2013 floods</t>
  </si>
  <si>
    <t xml:space="preserve">₹7,981 crore committed; about ₹733.53 crore spent (CAG)</t>
  </si>
  <si>
    <t xml:space="preserve">CAG (2015) found delays in 92% of assistance cases; an inquiry into RTI-exposed relief bills found no irregularities.</t>
  </si>
  <si>
    <t xml:space="preserve">hrf116; hrf115</t>
  </si>
  <si>
    <t xml:space="preserve">https://occult-kranti.github.io/fact-duel/hisaab/#/q/hrf116 https://occult-kranti.github.io/fact-duel/hisaab/#/q/hrf115</t>
  </si>
  <si>
    <t xml:space="preserve">Mint — CAG report slams Uttarakhand govt (6 Nov 2015)</t>
  </si>
  <si>
    <t xml:space="preserve">https://www.livemint.com/Politics/F94DyJe65ya152ypFp15gO/CAG-report-slams-Uttarakhand-govt.html</t>
  </si>
  <si>
    <t xml:space="preserve">ut-pmnrf-aid-2013</t>
  </si>
  <si>
    <t xml:space="preserve">Uttarakhand floods: PM’s aid and PMNRF ex gratia</t>
  </si>
  <si>
    <t xml:space="preserve">₹1,000 crore for the state; ₹2 lakh per death from PMNRF</t>
  </si>
  <si>
    <t xml:space="preserve">By December 2013 PMNRF had given ₹154 crore and the Centre had released ₹1,090 crore of ₹1,114 crore sanctioned.</t>
  </si>
  <si>
    <t xml:space="preserve">hrf016</t>
  </si>
  <si>
    <t xml:space="preserve">https://occult-kranti.github.io/fact-duel/hisaab/#/q/hrf016</t>
  </si>
  <si>
    <t xml:space="preserve">The Hindu — PM announces Rs. 1000 cr. relief for Uttarakhand (19 Jun 2013)</t>
  </si>
  <si>
    <t xml:space="preserve">https://www.thehindu.com/news/national/other-states/pm-announces-rs-1000-cr-relief-for-uttarakhand/article4829561.ece</t>
  </si>
  <si>
    <t xml:space="preserve">in-nfsa-2013</t>
  </si>
  <si>
    <t xml:space="preserve">2013-07</t>
  </si>
  <si>
    <t xml:space="preserve">National Food Security Act</t>
  </si>
  <si>
    <t xml:space="preserve">K.V. Thomas (Minister of State, Consumer Affairs, Food &amp; Public Distribution, INC)</t>
  </si>
  <si>
    <t xml:space="preserve">5 kg of grain a month at ₹3/₹2/₹1 a kg; maternity benefit of at least ₹6,000</t>
  </si>
  <si>
    <t xml:space="preserve">Up to 75% of rural and 50% of urban people (67% overall)</t>
  </si>
  <si>
    <t xml:space="preserve">Lok Sabha 2014</t>
  </si>
  <si>
    <t xml:space="preserve">2014-04</t>
  </si>
  <si>
    <t xml:space="preserve">BJP 282 of 543; INC 44</t>
  </si>
  <si>
    <t xml:space="preserve">Grain became free from January 2023 (PMGKAY). At the 2014 poll, 276 days after the ordinance, the Congress fell to 44 seats.</t>
  </si>
  <si>
    <t xml:space="preserve">hdb018; hdb019; hdb020; hsc021</t>
  </si>
  <si>
    <t xml:space="preserve">https://occult-kranti.github.io/fact-duel/hisaab/#/q/hdb018 https://occult-kranti.github.io/fact-duel/hisaab/#/q/hdb019 https://occult-kranti.github.io/fact-duel/hisaab/#/q/hdb020 https://occult-kranti.github.io/fact-duel/hisaab/#/q/hsc021</t>
  </si>
  <si>
    <t xml:space="preserve">Frontline — Food for security (4 Sep 2013)</t>
  </si>
  <si>
    <t xml:space="preserve">https://frontline.thehindu.com/the-nation/food-for-security/article5085111.ece</t>
  </si>
  <si>
    <t xml:space="preserve">ka-ksheera-bhagya-2013</t>
  </si>
  <si>
    <t xml:space="preserve">2013-08</t>
  </si>
  <si>
    <t xml:space="preserve">Ksheera Bhagya</t>
  </si>
  <si>
    <t xml:space="preserve">150 ml of milk three times a week for children in schools and anganwadis</t>
  </si>
  <si>
    <t xml:space="preserve">1.04 crore children</t>
  </si>
  <si>
    <t xml:space="preserve">₹384 crore a year</t>
  </si>
  <si>
    <t xml:space="preserve">Milk subsidy to 7.5 lakh dairy farmers was doubled to ₹4 a litre at ₹818 crore a year.</t>
  </si>
  <si>
    <t xml:space="preserve">hdb216</t>
  </si>
  <si>
    <t xml:space="preserve">https://occult-kranti.github.io/fact-duel/hisaab/#/q/hdb216</t>
  </si>
  <si>
    <t xml:space="preserve">in-seventh-pay-commission-2013</t>
  </si>
  <si>
    <t xml:space="preserve">2013-09</t>
  </si>
  <si>
    <t xml:space="preserve">Seventh Pay Commission announced</t>
  </si>
  <si>
    <t xml:space="preserve">P. Chidambaram (Union Finance Minister, INC); Manmohan Singh (Prime Minister, INC)</t>
  </si>
  <si>
    <t xml:space="preserve">A new pay commission, expected to take effect from 1 January 2016</t>
  </si>
  <si>
    <t xml:space="preserve">Nearly 80 lakh employees and pensioners</t>
  </si>
  <si>
    <t xml:space="preserve">BJP won 282 of 543 seats; the UPA lost office</t>
  </si>
  <si>
    <t xml:space="preserve">The UPA lost the 2014 poll; the NDA implemented the award from January 2016, as projected.</t>
  </si>
  <si>
    <t xml:space="preserve">hpe018</t>
  </si>
  <si>
    <t xml:space="preserve">https://occult-kranti.github.io/fact-duel/hisaab/#/q/hpe018</t>
  </si>
  <si>
    <t xml:space="preserve">The Economic Times — Government announces Seventh Central Pay Commission (26 Sep 2013)</t>
  </si>
  <si>
    <t xml:space="preserve">https://m.economictimes.com/news/economy/policy/government-announces-seventh-central-pay-commission/articleshow/23038399.cms</t>
  </si>
  <si>
    <t xml:space="preserve">od-phailin-2013</t>
  </si>
  <si>
    <t xml:space="preserve">2013-10</t>
  </si>
  <si>
    <t xml:space="preserve">Cyclone Phailin: advance sought</t>
  </si>
  <si>
    <t xml:space="preserve">A ₹1,000 crore central advance sought over the ₹523 crore SDRF corpus</t>
  </si>
  <si>
    <t xml:space="preserve">The state put damage at ₹4,242.41 crore; Frontline reported protests over slow aid.</t>
  </si>
  <si>
    <t xml:space="preserve">hrf112</t>
  </si>
  <si>
    <t xml:space="preserve">https://occult-kranti.github.io/fact-duel/hisaab/#/q/hrf112</t>
  </si>
  <si>
    <t xml:space="preserve">Frontline — After Phailin (30 Oct 2013)</t>
  </si>
  <si>
    <t xml:space="preserve">https://frontline.thehindu.com/environment/after-phailin/article5281245.ece</t>
  </si>
  <si>
    <t xml:space="preserve">wb-kanyashree-2013</t>
  </si>
  <si>
    <t xml:space="preserve">Kanyashree Prakalpa</t>
  </si>
  <si>
    <t xml:space="preserve">TMC</t>
  </si>
  <si>
    <t xml:space="preserve">Mamata Banerjee (Chief Minister, West Bengal, TMC)</t>
  </si>
  <si>
    <t xml:space="preserve">Conditional cash to stay in school and delay marriage: ₹750 (later ₹1,000) a year for girls 13–18, ₹25,000 at 18</t>
  </si>
  <si>
    <t xml:space="preserve">81 lakh girls (2023-24 budget)</t>
  </si>
  <si>
    <t xml:space="preserve">₹1,250 crore a year (2018)</t>
  </si>
  <si>
    <t xml:space="preserve">Won a UN award in 2017; NFHS-5 still found 41.6% of Bengal women aged 20–24 married before 18.</t>
  </si>
  <si>
    <t xml:space="preserve">hdb301</t>
  </si>
  <si>
    <t xml:space="preserve">https://occult-kranti.github.io/fact-duel/hisaab/#/q/hdb301</t>
  </si>
  <si>
    <t xml:space="preserve">The Hindu — Bengal assistance for marriage of poor women (31 Jan 2018)</t>
  </si>
  <si>
    <t xml:space="preserve">https://www.thehindu.com/news/national/bengal-assistance-for-marriage-of-poor-women/article22613215.ece</t>
  </si>
  <si>
    <t xml:space="preserve">ut-reconstruction-package-2013</t>
  </si>
  <si>
    <t xml:space="preserve">Uttarakhand reconstruction package</t>
  </si>
  <si>
    <t xml:space="preserve">Manmohan Singh (Prime Minister (chair, Cabinet Committee on Uttarakhand), INC)</t>
  </si>
  <si>
    <t xml:space="preserve">Reconstruction via externally aided projects, central schemes, NDRF and special plan assistance</t>
  </si>
  <si>
    <t xml:space="preserve">₹7,346 crore</t>
  </si>
  <si>
    <t xml:space="preserve">Externally aided projects made up 43%; the NDRF share was ₹1,200 crore (16%).</t>
  </si>
  <si>
    <t xml:space="preserve">hrf017</t>
  </si>
  <si>
    <t xml:space="preserve">https://occult-kranti.github.io/fact-duel/hisaab/#/q/hrf017</t>
  </si>
  <si>
    <t xml:space="preserve">The Hindu — Centre approves Rs. 7,346 crore compensation package for Uttarakhand (11 Dec 2013)</t>
  </si>
  <si>
    <t xml:space="preserve">https://www.thehindu.com/news/national/other-states/centre-approves-rs-7346-crore-compensation-package-for-uttarakhand/article5444877.ece</t>
  </si>
  <si>
    <t xml:space="preserve">in-lpg-cap-12-2014</t>
  </si>
  <si>
    <t xml:space="preserve">2014-01</t>
  </si>
  <si>
    <t xml:space="preserve">Subsidised LPG cap raised to 12</t>
  </si>
  <si>
    <t xml:space="preserve">M. Veerappa Moily (Union Petroleum Minister, INC)</t>
  </si>
  <si>
    <t xml:space="preserve">Yearly cap on subsidised cylinders raised from nine to 12</t>
  </si>
  <si>
    <t xml:space="preserve">₹5,000 crore a year extra</t>
  </si>
  <si>
    <t xml:space="preserve">Polling began 67 days later and the BJP won 282 of 543; a minister said it was ‘not an election-related decision’.</t>
  </si>
  <si>
    <t xml:space="preserve">hpe019</t>
  </si>
  <si>
    <t xml:space="preserve">https://occult-kranti.github.io/fact-duel/hisaab/#/q/hpe019</t>
  </si>
  <si>
    <t xml:space="preserve">The Indian Express — Govt suspends LPG subsidy transfer scheme; hikes cylinder quota from 9 to 12 (30 Jan 2014)</t>
  </si>
  <si>
    <t xml:space="preserve">https://indianexpress.com/article/india/india-others/cabinet-accepts-rahul-gandhis-lpg-subsidy-demand-increases-cap-from-9-to-12/</t>
  </si>
  <si>
    <t xml:space="preserve">mh-power-tariff-cut-2014</t>
  </si>
  <si>
    <t xml:space="preserve">Power tariff cut of 2014 (Maharashtra)</t>
  </si>
  <si>
    <t xml:space="preserve">Power tariffs cut by about 20%</t>
  </si>
  <si>
    <t xml:space="preserve">₹606 crore a month; ₹8,400 crore in all</t>
  </si>
  <si>
    <t xml:space="preserve">Maharashtra Assembly 2014</t>
  </si>
  <si>
    <t xml:space="preserve">2014-10</t>
  </si>
  <si>
    <t xml:space="preserve">BJP 122, Shiv Sena 63, Congress 42, NCP 41 of 288</t>
  </si>
  <si>
    <t xml:space="preserve">The Congress–NCP lost power in October 2014: BJP 122, Shiv Sena 63, Congress 42, NCP 41.</t>
  </si>
  <si>
    <t xml:space="preserve">hpe208</t>
  </si>
  <si>
    <t xml:space="preserve">https://occult-kranti.github.io/fact-duel/hisaab/#/q/hpe208</t>
  </si>
  <si>
    <t xml:space="preserve">The Indian Express — 'Power tariff in Maharashtra will remain higher than other states' (23 Jan 2014)</t>
  </si>
  <si>
    <t xml:space="preserve">https://indianexpress.com/article/cities/mumbai/power-tariff-in-maharashtra-will-remain-higher-than-other-states/</t>
  </si>
  <si>
    <t xml:space="preserve">in-education-loan-interest-2014</t>
  </si>
  <si>
    <t xml:space="preserve">2014-02</t>
  </si>
  <si>
    <t xml:space="preserve">Education-loan interest taken over</t>
  </si>
  <si>
    <t xml:space="preserve">Centre paid unpaid interest on pre-April 2009 education loans; OROP accepted in principle</t>
  </si>
  <si>
    <t xml:space="preserve">Nearly 9 lakh borrowers</t>
  </si>
  <si>
    <t xml:space="preserve">About ₹2,600 crore</t>
  </si>
  <si>
    <t xml:space="preserve">Polling began 49 days later; the UPA lost office and the Congress won 44 seats.</t>
  </si>
  <si>
    <t xml:space="preserve">hdb022</t>
  </si>
  <si>
    <t xml:space="preserve">https://occult-kranti.github.io/fact-duel/hisaab/#/q/hdb022</t>
  </si>
  <si>
    <t xml:space="preserve">indiabudget.gov.in — Interim Budget Speech 2014-15, P. Chidambaram (17 Feb 2014)</t>
  </si>
  <si>
    <t xml:space="preserve">https://www.indiabudget.gov.in/budget2014-2015(I)/ub2014-15/bs/bs.pdf</t>
  </si>
  <si>
    <t xml:space="preserve">in-interim-budget-2014-excise</t>
  </si>
  <si>
    <t xml:space="preserve">Interim budget 2014 excise cuts</t>
  </si>
  <si>
    <t xml:space="preserve">Excise on small cars and two-wheelers cut from 12% to 8%; cuts on SUVs, capital and consumer goods</t>
  </si>
  <si>
    <t xml:space="preserve">Polling began 49 days later; the BJP won 282 of 543 seats.</t>
  </si>
  <si>
    <t xml:space="preserve">hpe020</t>
  </si>
  <si>
    <t xml:space="preserve">https://occult-kranti.github.io/fact-duel/hisaab/#/q/hpe020</t>
  </si>
  <si>
    <t xml:space="preserve">indiabudget.gov.in — Interim Budget 2014-15 speech, P. Chidambaram (17 Feb 2014)</t>
  </si>
  <si>
    <t xml:space="preserve">mh-hailstorm-relief-2014</t>
  </si>
  <si>
    <t xml:space="preserve">2014-03</t>
  </si>
  <si>
    <t xml:space="preserve">Hailstorm relief under the model code</t>
  </si>
  <si>
    <t xml:space="preserve">₹4,000 crore package: ₹2,000 crore direct aid plus bill waivers and loan restructuring</t>
  </si>
  <si>
    <t xml:space="preserve">Lok Sabha 2014 (Maharashtra)</t>
  </si>
  <si>
    <t xml:space="preserve">BJP–Shiv Sena alliance won 42 of Maharashtra's 48 seats; NCP 4, INC 2</t>
  </si>
  <si>
    <t xml:space="preserve">The EC cleared it on condition officials, not politicians, handed out cheques; the BJP–Shiv Sena won 42 of 48 seats.</t>
  </si>
  <si>
    <t xml:space="preserve">hrf207</t>
  </si>
  <si>
    <t xml:space="preserve">https://occult-kranti.github.io/fact-duel/hisaab/#/q/hrf207</t>
  </si>
  <si>
    <t xml:space="preserve">The Hindu — Don't force farmers to repay loans, HC tells Maharashtra government (21 Mar 2014)</t>
  </si>
  <si>
    <t xml:space="preserve">https://www.thehindu.com/news/national/other-states/dont-force-farmers-to-repay-loans-hc-tells-maharashtra-government/article5815873.ece</t>
  </si>
  <si>
    <t xml:space="preserve">tg-loan-waiver-2014</t>
  </si>
  <si>
    <t xml:space="preserve">2014-06</t>
  </si>
  <si>
    <t xml:space="preserve">Crop loan waiver (Telangana, 2014)</t>
  </si>
  <si>
    <t xml:space="preserve">TG</t>
  </si>
  <si>
    <t xml:space="preserve">Telangana</t>
  </si>
  <si>
    <t xml:space="preserve">BRS</t>
  </si>
  <si>
    <t xml:space="preserve">K. Chandrasekhar Rao (Chief Minister, Telangana, TRS (now BRS))</t>
  </si>
  <si>
    <t xml:space="preserve">2013-14 crop loans waived up to ₹1 lakh</t>
  </si>
  <si>
    <t xml:space="preserve">₹14,897 crore pared to ₹7,840 crore; about ₹17,000 crore by 2018</t>
  </si>
  <si>
    <t xml:space="preserve">Promised before the 2014 poll (TRS 63 of 119); farmers protested the cut-off, and the 2018 manifesto promised another waiver.</t>
  </si>
  <si>
    <t xml:space="preserve">hpe117</t>
  </si>
  <si>
    <t xml:space="preserve">https://occult-kranti.github.io/fact-duel/hisaab/#/q/hpe117</t>
  </si>
  <si>
    <t xml:space="preserve">Down To Earth — Farmers in Telangana protest cap on farm loan waiver (6 Jun 2014)</t>
  </si>
  <si>
    <t xml:space="preserve">https://www.downtoearth.org.in/environment/farmers-in-telangana-protest-cap-on-farm-loan-waiver-44651</t>
  </si>
  <si>
    <t xml:space="preserve">ap-crop-loan-waiver-2014</t>
  </si>
  <si>
    <t xml:space="preserve">2014-07</t>
  </si>
  <si>
    <t xml:space="preserve">Farm loan waiver (Andhra Pradesh)</t>
  </si>
  <si>
    <t xml:space="preserve">Farm, gold, SHG and weaver loans waived up to ₹1.5 lakh per family</t>
  </si>
  <si>
    <t xml:space="preserve">96.27% of over 80 lakh borrowers covered in full</t>
  </si>
  <si>
    <t xml:space="preserve">About ₹43,000 crore (July 2014 decision)</t>
  </si>
  <si>
    <t xml:space="preserve">The TDP had promised it before the 2014 poll (won 102 of 175); by February 2019 ₹24,000 crore had been waived, with two instalments still due.</t>
  </si>
  <si>
    <t xml:space="preserve">hpe116</t>
  </si>
  <si>
    <t xml:space="preserve">https://occult-kranti.github.io/fact-duel/hisaab/#/q/hpe116</t>
  </si>
  <si>
    <t xml:space="preserve">Down To Earth — Andhra Pradesh announces Rs 43,000 crore loan waiver (22 Jul 2014)</t>
  </si>
  <si>
    <t xml:space="preserve">https://www.downtoearth.org.in/environment/andhra-pradesh-announces-rs-43000-crore-loan-waiver-45418</t>
  </si>
  <si>
    <t xml:space="preserve">in-pm-jan-dhan-2014</t>
  </si>
  <si>
    <t xml:space="preserve">2014-08</t>
  </si>
  <si>
    <t xml:space="preserve">PM Jan Dhan Yojana</t>
  </si>
  <si>
    <t xml:space="preserve">Zero-balance bank accounts with a RuPay card carrying ₹2 lakh accident cover and a ₹10,000 overdraft</t>
  </si>
  <si>
    <t xml:space="preserve">56.16 crore accounts (55.7% women) by Aug 2025</t>
  </si>
  <si>
    <t xml:space="preserve">₹2.68 lakh crore in deposits by August 2025; banks were asked to reduce inoperative accounts (PIB).</t>
  </si>
  <si>
    <t xml:space="preserve">hsc023; hsc024</t>
  </si>
  <si>
    <t xml:space="preserve">https://occult-kranti.github.io/fact-duel/hisaab/#/q/hsc023 https://occult-kranti.github.io/fact-duel/hisaab/#/q/hsc024</t>
  </si>
  <si>
    <t xml:space="preserve">PIB (Finance Ministry) — PMJDY completes 11 years (Aug 2025)</t>
  </si>
  <si>
    <t xml:space="preserve">https://www.pib.gov.in/PressReleasePage.aspx?PRID=2161401</t>
  </si>
  <si>
    <t xml:space="preserve">rj-bhamashah-2014</t>
  </si>
  <si>
    <t xml:space="preserve">Bhamashah card relaunch</t>
  </si>
  <si>
    <t xml:space="preserve">Health cover of ₹30,000 (routine) and ₹3 lakh (major illness); benefits paid to the woman head’s account</t>
  </si>
  <si>
    <t xml:space="preserve">1.5 crore women aimed at</t>
  </si>
  <si>
    <t xml:space="preserve">₹600 crore set aside</t>
  </si>
  <si>
    <t xml:space="preserve">Relaunched after the BJP’s 163-of-200 win in 2013; biometric enrolment was to finish by March 2015.</t>
  </si>
  <si>
    <t xml:space="preserve">hdb112; hpe106</t>
  </si>
  <si>
    <t xml:space="preserve">https://occult-kranti.github.io/fact-duel/hisaab/#/q/hdb112 https://occult-kranti.github.io/fact-duel/hisaab/#/q/hpe106</t>
  </si>
  <si>
    <t xml:space="preserve">Rediff / Business Standard — Bhamashah: A scheme to trump Aadhaar in Rajasthan (18 Aug 2014)</t>
  </si>
  <si>
    <t xml:space="preserve">https://www.rediff.com/business/slide-show/slide-show-1-bhamashah-a-scheme-to-trump-aadhaar-in-rajasthan/20140818.htm</t>
  </si>
  <si>
    <t xml:space="preserve">jk-floods-central-aid-2014</t>
  </si>
  <si>
    <t xml:space="preserve">2014-09</t>
  </si>
  <si>
    <t xml:space="preserve">J&amp;K floods: central aid</t>
  </si>
  <si>
    <t xml:space="preserve">JK</t>
  </si>
  <si>
    <t xml:space="preserve">Jammu &amp; Kashmir</t>
  </si>
  <si>
    <t xml:space="preserve">Narendra Modi (Prime Minister, BJP)</t>
  </si>
  <si>
    <t xml:space="preserve">₹1,000 crore over the state’s ₹1,100 crore disaster fund, and ₹2 lakh ex gratia per death</t>
  </si>
  <si>
    <t xml:space="preserve">The state sought ₹44,000 crore; central help came in tranches, including a flood component in the 2015 package.</t>
  </si>
  <si>
    <t xml:space="preserve">hrf018</t>
  </si>
  <si>
    <t xml:space="preserve">https://occult-kranti.github.io/fact-duel/hisaab/#/q/hrf018</t>
  </si>
  <si>
    <t xml:space="preserve">Hindustan Times — PM Modi visits Siachen, spends time with soldiers on Diwali (23 Oct 2014)</t>
  </si>
  <si>
    <t xml:space="preserve">https://www.hindustantimes.com/india/pm-modi-visits-siachen-spends-time-with-soldiers-on-diwali/story-QdGzHCfbWY9FYglkYdGUbL.html</t>
  </si>
  <si>
    <t xml:space="preserve">jk-floods-state-package-2014</t>
  </si>
  <si>
    <t xml:space="preserve">Kashmir floods: state relief package</t>
  </si>
  <si>
    <t xml:space="preserve">JKNC</t>
  </si>
  <si>
    <t xml:space="preserve">Omar Abdullah (Chief Minister, Jammu &amp; Kashmir, JKNC)</t>
  </si>
  <si>
    <t xml:space="preserve">₹200 crore from the distress relief fund paid in cash, plus six months’ free ration</t>
  </si>
  <si>
    <t xml:space="preserve">In April 2015 the next government said the Centre approved only ₹1,102 crore against ₹2,600 crore required under SDRF norms.</t>
  </si>
  <si>
    <t xml:space="preserve">hrf114</t>
  </si>
  <si>
    <t xml:space="preserve">https://occult-kranti.github.io/fact-duel/hisaab/#/q/hrf114</t>
  </si>
  <si>
    <t xml:space="preserve">The Hindu — J&amp;K floods: Omar announces relief package (12 Sep 2014)</t>
  </si>
  <si>
    <t xml:space="preserve">https://www.thehindu.com/news/national/Jammu-and-Kahsmir-floods-Omar-Abdullah-announces-relief-package/article60345806.ece</t>
  </si>
  <si>
    <t xml:space="preserve">od-biju-pucca-ghar-2014</t>
  </si>
  <si>
    <t xml:space="preserve">Biju Pucca Ghar</t>
  </si>
  <si>
    <t xml:space="preserve">Pucca houses for rural kutcha-house families, in the woman member’s name</t>
  </si>
  <si>
    <t xml:space="preserve">₹330 crore a year rising to about ₹3,000 crore</t>
  </si>
  <si>
    <t xml:space="preserve">Discontinued by the BJP government in 2024; replaced by Antyodaya Gruha Yojana in 2025.</t>
  </si>
  <si>
    <t xml:space="preserve">hdb337</t>
  </si>
  <si>
    <t xml:space="preserve">https://occult-kranti.github.io/fact-duel/hisaab/#/q/hdb337</t>
  </si>
  <si>
    <t xml:space="preserve">Business Standard (PTI) — Naveen announces pucca houses for Odisha's rural inhabitants (11 Sep 2014)</t>
  </si>
  <si>
    <t xml:space="preserve">https://www.business-standard.com/article/economy-policy/naveen-announces-pucca-houses-for-odisha-s-rural-inhabitants-114091101168_1.html</t>
  </si>
  <si>
    <t xml:space="preserve">ap-cyclone-hudhud-2014</t>
  </si>
  <si>
    <t xml:space="preserve">Cyclone Hudhud interim central aid</t>
  </si>
  <si>
    <t xml:space="preserve">₹1,000 crore interim assistance announced after an aerial survey of Visakhapatnam</t>
  </si>
  <si>
    <t xml:space="preserve">An interim sum, not a final award: further NDRF aid follows a central team’s assessment of the state memorandum.</t>
  </si>
  <si>
    <t xml:space="preserve">hrf020</t>
  </si>
  <si>
    <t xml:space="preserve">https://occult-kranti.github.io/fact-duel/hisaab/#/q/hrf020</t>
  </si>
  <si>
    <t xml:space="preserve">Indian Express — Modi surveys Vizag after cyclone Hudhud; announces interim assistance of Rs 1000 crore (14 Oct 2014)</t>
  </si>
  <si>
    <t xml:space="preserve">https://indianexpress.com/article/india/india-others/pm-arrives-in-visakhapatnam-to-survey-cyclone-hit-areas/</t>
  </si>
  <si>
    <t xml:space="preserve">jk-flood-aid-diwali-2014</t>
  </si>
  <si>
    <t xml:space="preserve">J&amp;K flood aid on Diwali</t>
  </si>
  <si>
    <t xml:space="preserve">₹570 crore for flood-hit housing and ₹175 crore for six hospitals</t>
  </si>
  <si>
    <t xml:space="preserve">J&amp;K Assembly 2014</t>
  </si>
  <si>
    <t xml:space="preserve">2014-11</t>
  </si>
  <si>
    <t xml:space="preserve">Hung: PDP 28, BJP 25, NC 15, INC 12 of 87; PDP–BJP coalition from Mar 2015</t>
  </si>
  <si>
    <t xml:space="preserve">Announced 33 days before polling; the House was hung and a PDP–BJP coalition took office. No cited source ties the aid to the vote.</t>
  </si>
  <si>
    <t xml:space="preserve">hrf019</t>
  </si>
  <si>
    <t xml:space="preserve">https://occult-kranti.github.io/fact-duel/hisaab/#/q/hrf019</t>
  </si>
  <si>
    <t xml:space="preserve">PMO India — PM meets various groups of flood-affected people in Srinagar (23 Oct 2014)</t>
  </si>
  <si>
    <t xml:space="preserve">https://www.pmindia.gov.in/en/news_updates/pm-meets-various-groups-of-flood-affected-people-in-srinagar-listens-to-their-problems-and-suggestions/</t>
  </si>
  <si>
    <t xml:space="preserve">in-pahal-2014</t>
  </si>
  <si>
    <t xml:space="preserve">PAHAL (LPG subsidy DBT)</t>
  </si>
  <si>
    <t xml:space="preserve">Dharmendra Pradhan (Union Petroleum &amp; Natural Gas Minister, BJP)</t>
  </si>
  <si>
    <t xml:space="preserve">LPG subsidy paid into consumers’ bank accounts</t>
  </si>
  <si>
    <t xml:space="preserve">13.9 crore consumers by Aug 2015</t>
  </si>
  <si>
    <t xml:space="preserve">CAG (2016) found most of the fall in LPG subsidy came from lower crude prices, not PAHAL; the ministry defended its savings.</t>
  </si>
  <si>
    <t xml:space="preserve">hdb023; hdb025</t>
  </si>
  <si>
    <t xml:space="preserve">https://occult-kranti.github.io/fact-duel/hisaab/#/q/hdb023 https://occult-kranti.github.io/fact-duel/hisaab/#/q/hdb025</t>
  </si>
  <si>
    <t xml:space="preserve">ET EnergyWorld — 'Pahal' enters Guinness Book of World Records as the largest cash transfer program (13 Aug 2015)</t>
  </si>
  <si>
    <t xml:space="preserve">https://energy.economictimes.indiatimes.com/news/pahal-enters-guinness-book-of-world-records-as-the-largest-cash-transfer-program/48470924</t>
  </si>
  <si>
    <t xml:space="preserve">hr-hailstorm-relief-2015</t>
  </si>
  <si>
    <t xml:space="preserve">2015</t>
  </si>
  <si>
    <t xml:space="preserve">Hailstorm relief (Haryana)</t>
  </si>
  <si>
    <t xml:space="preserve">Manohar Lal Khattar (Chief Minister, Haryana, BJP)</t>
  </si>
  <si>
    <t xml:space="preserve">Up to a year’s farm power bills waived by crop loss; ₹10,000 an acre for wheat; interest-free crop loans</t>
  </si>
  <si>
    <t xml:space="preserve">The waiver was only for hail-hit farmers; Khattar asked others to clear ₹5,500 crore of pending power bills.</t>
  </si>
  <si>
    <t xml:space="preserve">hrf208</t>
  </si>
  <si>
    <t xml:space="preserve">https://occult-kranti.github.io/fact-duel/hisaab/#/q/hrf208</t>
  </si>
  <si>
    <t xml:space="preserve">The Tribune — Power bill waiver only for hail-hit farmers: Khattar (3 Apr 2015)</t>
  </si>
  <si>
    <t xml:space="preserve">https://www.tribuneindia.com/news/archive/community/power-bill-waiver-only-for-hail-hit-farmers-khattar-62029/</t>
  </si>
  <si>
    <t xml:space="preserve">in-14th-fc-local-disasters-2015</t>
  </si>
  <si>
    <t xml:space="preserve">Local-disaster window (14th Finance Commission)</t>
  </si>
  <si>
    <t xml:space="preserve">States may spend up to 10% of their response fund on local disasters off the national list</t>
  </si>
  <si>
    <t xml:space="preserve">₹61,219 crore allocation (2015–20)</t>
  </si>
  <si>
    <t xml:space="preserve">Central releases to state disaster funds rose from ₹8,756 crore (2015-16) to ₹10,938 crore (2019-20).</t>
  </si>
  <si>
    <t xml:space="preserve">hrf021</t>
  </si>
  <si>
    <t xml:space="preserve">https://occult-kranti.github.io/fact-duel/hisaab/#/q/hrf021</t>
  </si>
  <si>
    <t xml:space="preserve">Rajya Sabha Standing Committee on Home Affairs — 261st Report: Disaster Management (Aug 2026), para 2.13.5</t>
  </si>
  <si>
    <t xml:space="preserve">wb-sabooj-sathi-2015</t>
  </si>
  <si>
    <t xml:space="preserve">Sabooj Sathi bicycles</t>
  </si>
  <si>
    <t xml:space="preserve">Bicycles for Class 9–12 students of government and aided schools</t>
  </si>
  <si>
    <t xml:space="preserve">About 85 lakh students by 2020</t>
  </si>
  <si>
    <t xml:space="preserve">Over ₹2,700 crore</t>
  </si>
  <si>
    <t xml:space="preserve">Won a WSIS prize in 2020 (state figures on reach and cost).</t>
  </si>
  <si>
    <t xml:space="preserve">hdb304</t>
  </si>
  <si>
    <t xml:space="preserve">https://occult-kranti.github.io/fact-duel/hisaab/#/q/hdb304</t>
  </si>
  <si>
    <t xml:space="preserve">The Indian Express — After Kanyashree, Bengal govt bags WSIS award for its Sabuj Sathi scheme (10 Sep 2020)</t>
  </si>
  <si>
    <t xml:space="preserve">https://indianexpress.com/article/cities/kolkata/had-contested-with-800-projects-after-kanyashree-bengal-govt-bags-wsis-award-for-its-sabuj-sathi-scheme-6589951/</t>
  </si>
  <si>
    <t xml:space="preserve">in-atal-pension-2015</t>
  </si>
  <si>
    <t xml:space="preserve">2015-05</t>
  </si>
  <si>
    <t xml:space="preserve">Atal Pension Yojana</t>
  </si>
  <si>
    <t xml:space="preserve">Arun Jaitley (Union Finance Minister, BJP); Narendra Modi (Prime Minister, BJP)</t>
  </si>
  <si>
    <t xml:space="preserve">Guaranteed pension of ₹1,000–₹5,000 a month from 60; Centre paid half the premium (up to ₹1,000) for five years for early joiners</t>
  </si>
  <si>
    <t xml:space="preserve">Over 9 crore gross enrolments by April 2026</t>
  </si>
  <si>
    <t xml:space="preserve">The Cabinet extended its funding support to 2030-31 in January 2026.</t>
  </si>
  <si>
    <t xml:space="preserve">hdb024; hsc044</t>
  </si>
  <si>
    <t xml:space="preserve">https://occult-kranti.github.io/fact-duel/hisaab/#/q/hdb024 https://occult-kranti.github.io/fact-duel/hisaab/#/q/hsc044</t>
  </si>
  <si>
    <t xml:space="preserve">indiabudget.gov.in — Budget Speech 2015-16, Arun Jaitley (28 Feb 2015)</t>
  </si>
  <si>
    <t xml:space="preserve">https://www.indiabudget.gov.in/budget2015-2016/ub2015-16/bs/bs.pdf</t>
  </si>
  <si>
    <t xml:space="preserve">br-special-package-2015</t>
  </si>
  <si>
    <t xml:space="preserve">2015-08</t>
  </si>
  <si>
    <t xml:space="preserve">Special package for Bihar</t>
  </si>
  <si>
    <t xml:space="preserve">₹1.25 lakh crore package (₹1.65 lakh crore with earlier funds); ₹9,700 crore of projects launched</t>
  </si>
  <si>
    <t xml:space="preserve">Bihar Assembly 2015</t>
  </si>
  <si>
    <t xml:space="preserve">2015-10</t>
  </si>
  <si>
    <t xml:space="preserve">JD(U)–RJD–Congress won 178 of 243; RJD 80, JD(U) 71</t>
  </si>
  <si>
    <t xml:space="preserve">Nitish Kumar called it a ‘packaged myth’ of old schemes; the JD(U)–RJD–Congress alliance won 178 of 243 seats.</t>
  </si>
  <si>
    <t xml:space="preserve">hpe118; hpe021</t>
  </si>
  <si>
    <t xml:space="preserve">https://occult-kranti.github.io/fact-duel/hisaab/#/q/hpe118 https://occult-kranti.github.io/fact-duel/hisaab/#/q/hpe021</t>
  </si>
  <si>
    <t xml:space="preserve">India Today — Bihar celebrates Modi's special package worth Rs 1.25 lakh crore (18 Aug 2015)</t>
  </si>
  <si>
    <t xml:space="preserve">https://www.indiatoday.in/assembly-elections-2015/bihar-polls/photo/bihar-celebrates-as-pm-modi-declares-special-package-worth-rs-125-lakh-crore-375906-2015-08-18</t>
  </si>
  <si>
    <t xml:space="preserve">as-gogoi-prepoll-package-2015</t>
  </si>
  <si>
    <t xml:space="preserve">2015-09</t>
  </si>
  <si>
    <t xml:space="preserve">Gogoi's pre-poll package</t>
  </si>
  <si>
    <t xml:space="preserve">About 25 schemes: yarn, laptops, seeds, blankets and pensions from November 2015</t>
  </si>
  <si>
    <t xml:space="preserve">76.41 lakh people</t>
  </si>
  <si>
    <t xml:space="preserve">₹862 crore</t>
  </si>
  <si>
    <t xml:space="preserve">Assam Assembly 2016</t>
  </si>
  <si>
    <t xml:space="preserve">2016-04</t>
  </si>
  <si>
    <t xml:space="preserve">BJP won 60 of 126 and formed govt with allies; Congress 26</t>
  </si>
  <si>
    <t xml:space="preserve">The Congress lost after 15 years: the BJP won 60 of 126 and formed the government with allies; the Congress fell to 26.</t>
  </si>
  <si>
    <t xml:space="preserve">hdb319</t>
  </si>
  <si>
    <t xml:space="preserve">https://occult-kranti.github.io/fact-duel/hisaab/#/q/hdb319</t>
  </si>
  <si>
    <t xml:space="preserve">The Hindu — Gogoi announces Rs. 862-crore largesse for Assam (26 Sep 2015)</t>
  </si>
  <si>
    <t xml:space="preserve">https://www.thehindu.com/news/national/gogoi-announces-rs-862crore-largesse-for-assam/article7692497.ece</t>
  </si>
  <si>
    <t xml:space="preserve">in-orop-2015</t>
  </si>
  <si>
    <t xml:space="preserve">One Rank One Pension</t>
  </si>
  <si>
    <t xml:space="preserve">Manohar Parrikar (Union Defence Minister, BJP)</t>
  </si>
  <si>
    <t xml:space="preserve">Equal pension for equal rank and service, re-fixed every five years</t>
  </si>
  <si>
    <t xml:space="preserve">About 26 lakh retired personnel and 6 lakh war widows</t>
  </si>
  <si>
    <t xml:space="preserve">₹8,000–10,000 crore a year plus arrears</t>
  </si>
  <si>
    <t xml:space="preserve">JD(U)–RJD–Congress alliance won 178 of 243 seats; BJP 53</t>
  </si>
  <si>
    <t xml:space="preserve">Veterans kept agitating; polling began 37 days later and the NDA won only 58 of 243 in Bihar.</t>
  </si>
  <si>
    <t xml:space="preserve">hpe022</t>
  </si>
  <si>
    <t xml:space="preserve">https://occult-kranti.github.io/fact-duel/hisaab/#/q/hpe022</t>
  </si>
  <si>
    <t xml:space="preserve">Rediff — Govt announces OROP but unhappy veterans to continue agitation (5 Sep 2015)</t>
  </si>
  <si>
    <t xml:space="preserve">https://www.rediff.com/news/report/government-announces-one-rank-one-pension-for-ex-servicemen/20150905.htm</t>
  </si>
  <si>
    <t xml:space="preserve">jk-ladli-beti-2015</t>
  </si>
  <si>
    <t xml:space="preserve">Ladli Beti (J&amp;K)</t>
  </si>
  <si>
    <t xml:space="preserve">PDP</t>
  </si>
  <si>
    <t xml:space="preserve">Mufti Mohammad Sayeed (Chief Minister, Jammu &amp; Kashmir, PDP)</t>
  </si>
  <si>
    <t xml:space="preserve">₹1,000 a month deposited for 14 years; about ₹6.5 lakh to the girl at 21</t>
  </si>
  <si>
    <t xml:space="preserve">About 2.03 lakh girls by March 2026</t>
  </si>
  <si>
    <t xml:space="preserve">₹450 crore (2025-26)</t>
  </si>
  <si>
    <t xml:space="preserve">New enrolments stalled in 2026 as banks paused accounts pending a renewed MoU and funds.</t>
  </si>
  <si>
    <t xml:space="preserve">hdb113</t>
  </si>
  <si>
    <t xml:space="preserve">https://occult-kranti.github.io/fact-duel/hisaab/#/q/hdb113</t>
  </si>
  <si>
    <t xml:space="preserve">ETV Bharat — Funding delays and missing MoU stall Ladli Beti scheme in Jammu Kashmir (7 Aug 2026)</t>
  </si>
  <si>
    <t xml:space="preserve">https://www.etvbharat.com/en/bharat/funding-delays-and-missing-mou-stall-ladli-beti-scheme-in-jammu-kashmir-enn26080704343</t>
  </si>
  <si>
    <t xml:space="preserve">jk-pm-development-package-2015</t>
  </si>
  <si>
    <t xml:space="preserve">2015-11</t>
  </si>
  <si>
    <t xml:space="preserve">PM’s Development Package for J&amp;K</t>
  </si>
  <si>
    <t xml:space="preserve">₹80,068 crore package; ₹7,854 crore for flood relief, reconstruction and flood management</t>
  </si>
  <si>
    <t xml:space="preserve">Flood items were under a tenth of the headline; roads and highways took over half.</t>
  </si>
  <si>
    <t xml:space="preserve">hrf022</t>
  </si>
  <si>
    <t xml:space="preserve">https://occult-kranti.github.io/fact-duel/hisaab/#/q/hrf022</t>
  </si>
  <si>
    <t xml:space="preserve">PMO India — Highlights of PM's development package for Jammu and Kashmir (7 Nov 2015)</t>
  </si>
  <si>
    <t xml:space="preserve">https://www.pmindia.gov.in/en/news_updates/highlights-of-prime-ministers-development-package-for-jammu-and-kashmir/</t>
  </si>
  <si>
    <t xml:space="preserve">tn-chennai-floods-relief-2015</t>
  </si>
  <si>
    <t xml:space="preserve">2015-12</t>
  </si>
  <si>
    <t xml:space="preserve">Chennai floods relief package (2015)</t>
  </si>
  <si>
    <t xml:space="preserve">₹5,000 per flood-hit family (₹10,000 for lost huts), rice, clothes and 10,000 tenements</t>
  </si>
  <si>
    <t xml:space="preserve">Volunteers alleged they were made to paste CM stickers on aid (denied). CAG (2018) called the floods ‘man-made’.</t>
  </si>
  <si>
    <t xml:space="preserve">hrf117; hrf118</t>
  </si>
  <si>
    <t xml:space="preserve">https://occult-kranti.github.io/fact-duel/hisaab/#/q/hrf117 https://occult-kranti.github.io/fact-duel/hisaab/#/q/hrf118</t>
  </si>
  <si>
    <t xml:space="preserve">BBC News — Chennai floods: India anger over Jayalalitha stickers on aid (7 Dec 2015)</t>
  </si>
  <si>
    <t xml:space="preserve">https://www.bbc.com/news/world-asia-india-35024134</t>
  </si>
  <si>
    <t xml:space="preserve">in-pmay-gramin-2016</t>
  </si>
  <si>
    <t xml:space="preserve">2016</t>
  </si>
  <si>
    <t xml:space="preserve">PMAY-Gramin</t>
  </si>
  <si>
    <t xml:space="preserve">Narendra Modi (Prime Minister (chaired the Union Cabinet that approved it), BJP)</t>
  </si>
  <si>
    <t xml:space="preserve">₹1.20 lakh (₹1.30 lakh in hill states) to build a rural house</t>
  </si>
  <si>
    <t xml:space="preserve">2.95 crore houses targeted by March 2024; 2 crore more for 2024–29</t>
  </si>
  <si>
    <t xml:space="preserve">₹3,06,137 crore for 2024–29</t>
  </si>
  <si>
    <t xml:space="preserve">35 lakh houses were still incomplete at the March 2024 deadline (Cabinet note).</t>
  </si>
  <si>
    <t xml:space="preserve">hsc025; hsc026</t>
  </si>
  <si>
    <t xml:space="preserve">https://occult-kranti.github.io/fact-duel/hisaab/#/q/hsc025 https://occult-kranti.github.io/fact-duel/hisaab/#/q/hsc026</t>
  </si>
  <si>
    <t xml:space="preserve">PMO — Cabinet approves PMAY-G during FY 2024-25 to 2028-29 (9 Aug 2024)</t>
  </si>
  <si>
    <t xml:space="preserve">https://www.pmindia.gov.in/en/news_updates/cabinet-approves-implementation-of-the-pradhan-mantri-awaas-yojana-gramin-pmay-g-during-fy-2024-25-to-2028-29/</t>
  </si>
  <si>
    <t xml:space="preserve">in-pmfby-2016</t>
  </si>
  <si>
    <t xml:space="preserve">PM Fasal Bima Yojana</t>
  </si>
  <si>
    <t xml:space="preserve">Crop insurance: farmers pay 2% (kharif), 1.5% (rabi), 5% (horticulture); governments pay the rest</t>
  </si>
  <si>
    <t xml:space="preserve">About 68 crore farmer applications insured by Jan 2025</t>
  </si>
  <si>
    <t xml:space="preserve">₹12,242 crore (2025-26)</t>
  </si>
  <si>
    <t xml:space="preserve">Claims peaked at ₹29,043 crore in 2017-18 and fell to ₹16,441 crore by 2022-23 (PRS).</t>
  </si>
  <si>
    <t xml:space="preserve">hsc046; hsc047</t>
  </si>
  <si>
    <t xml:space="preserve">https://occult-kranti.github.io/fact-duel/hisaab/#/q/hsc046 https://occult-kranti.github.io/fact-duel/hisaab/#/q/hsc047</t>
  </si>
  <si>
    <t xml:space="preserve">PRS Legislative Research — Demand for Grants 2025-26 Analysis: Agriculture and Farmers Welfare (4 Feb 2025)</t>
  </si>
  <si>
    <t xml:space="preserve">https://prsindia.org/files/budget/budget_parliament/2025/DFG_Analysis_2025-26_Agriculture_&amp;_Farmers_Welfare.pdf</t>
  </si>
  <si>
    <t xml:space="preserve">pb-badal-budget-2016</t>
  </si>
  <si>
    <t xml:space="preserve">Badal government’s last budget</t>
  </si>
  <si>
    <t xml:space="preserve">20 new benefits: insurance, interest-free crop loans, cycles for girls, atta-dal for 30 lakh families</t>
  </si>
  <si>
    <t xml:space="preserve">About ₹3,000 crore, on top of about ₹6,000 crore a year of free farm power</t>
  </si>
  <si>
    <t xml:space="preserve">Punjab Assembly 2017</t>
  </si>
  <si>
    <t xml:space="preserve">2017-02</t>
  </si>
  <si>
    <t xml:space="preserve">Congress won 77 of 117; AAP 20; SAD 15; BJP 3</t>
  </si>
  <si>
    <t xml:space="preserve">The SAD–BJP lost in February 2017: the Congress won 77 of 117, AAP 20, SAD 15, BJP 3.</t>
  </si>
  <si>
    <t xml:space="preserve">hpe210</t>
  </si>
  <si>
    <t xml:space="preserve">https://occult-kranti.github.io/fact-duel/hisaab/#/q/hpe210</t>
  </si>
  <si>
    <t xml:space="preserve">Hindustan Times — The politics of populism: It's dole time in Punjab (22 Nov 2016)</t>
  </si>
  <si>
    <t xml:space="preserve">https://www.hindustantimes.com/punjab/the-politics-of-populism-it-s-dole-time-in-punjab/story-mD67SuOSi9vdlkTEE11SbN.html</t>
  </si>
  <si>
    <t xml:space="preserve">wb-khadya-sathi-2016</t>
  </si>
  <si>
    <t xml:space="preserve">2016-01</t>
  </si>
  <si>
    <t xml:space="preserve">Khadya Sathi</t>
  </si>
  <si>
    <t xml:space="preserve">Rice and wheat at ₹2 a kg, 5 kg a month</t>
  </si>
  <si>
    <t xml:space="preserve">Over 7 crore people, almost 80% of the state</t>
  </si>
  <si>
    <t xml:space="preserve">West Bengal Assembly 2016</t>
  </si>
  <si>
    <t xml:space="preserve">TMC won 211 of 294</t>
  </si>
  <si>
    <t xml:space="preserve">Launched 68 days before polling; the TMC won a second term with 211 of 294.</t>
  </si>
  <si>
    <t xml:space="preserve">hpe119</t>
  </si>
  <si>
    <t xml:space="preserve">https://occult-kranti.github.io/fact-duel/hisaab/#/q/hpe119</t>
  </si>
  <si>
    <t xml:space="preserve">The Indian Express — Mamata's masterstroke ahead of polls: foodgrain at Rs 2/kg for 80% of Bengal population (28 Jan 2016)</t>
  </si>
  <si>
    <t xml:space="preserve">https://indianexpress.com/article/cities/kolkata/mamatas-masterstroke-ahead-of-polls-foodgrain-at-rs-2kg-for-80-of-bengal-population/</t>
  </si>
  <si>
    <t xml:space="preserve">dl-water-bill-waiver-2016</t>
  </si>
  <si>
    <t xml:space="preserve">2016-02</t>
  </si>
  <si>
    <t xml:space="preserve">Water bill waiver (Delhi)</t>
  </si>
  <si>
    <t xml:space="preserve">AAP</t>
  </si>
  <si>
    <t xml:space="preserve">Arvind Kejriwal (Chief Minister, Delhi, AAP)</t>
  </si>
  <si>
    <t xml:space="preserve">Pending water bills waived on a sliding scale: 25% to 100% by property category</t>
  </si>
  <si>
    <t xml:space="preserve">The government also promised ₹840 crore to the Jal Board for pipelines; Kejriwal said the Board still had a ₹176 crore surplus.</t>
  </si>
  <si>
    <t xml:space="preserve">hdb114</t>
  </si>
  <si>
    <t xml:space="preserve">https://occult-kranti.github.io/fact-duel/hisaab/#/q/hdb114</t>
  </si>
  <si>
    <t xml:space="preserve">The Hindu — One year of AAP: Kejriwal waives Delhi water bills till November (14 Feb 2016)</t>
  </si>
  <si>
    <t xml:space="preserve">https://www.thehindu.com/news/cities/Delhi/One-year-of-AAP-Kejriwal-waives-Delhi-water-bills-till-November/article60580066.ece</t>
  </si>
  <si>
    <t xml:space="preserve">kl-chandy-budget-2016</t>
  </si>
  <si>
    <t xml:space="preserve">Chandy’s last budget (welfare pension to ₹1,500)</t>
  </si>
  <si>
    <t xml:space="preserve">Oommen Chandy (Chief Minister, Kerala, INC)</t>
  </si>
  <si>
    <t xml:space="preserve">Monthly welfare pension raised from ₹1,000 to ₹1,500, with something for every group</t>
  </si>
  <si>
    <t xml:space="preserve">Kerala Assembly 2016</t>
  </si>
  <si>
    <t xml:space="preserve">2016-05</t>
  </si>
  <si>
    <t xml:space="preserve">LDF won 91 of 140 seats; UDF 47</t>
  </si>
  <si>
    <t xml:space="preserve">The LDF won 91 of 140 seats and the UDF 47.</t>
  </si>
  <si>
    <t xml:space="preserve">hpe209</t>
  </si>
  <si>
    <t xml:space="preserve">https://occult-kranti.github.io/fact-duel/hisaab/#/q/hpe209</t>
  </si>
  <si>
    <t xml:space="preserve">Deccan Chronicle — Kerala Budget 2016: It read more like a poll manifesto (13 Feb 2016)</t>
  </si>
  <si>
    <t xml:space="preserve">https://www.deccanchronicle.com/nation/current-affairs/130216/kerala-budget-2016-it-read-more-like-a-poll-manifesto.html</t>
  </si>
  <si>
    <t xml:space="preserve">up-bundelkhand-relief-2016</t>
  </si>
  <si>
    <t xml:space="preserve">2016-03</t>
  </si>
  <si>
    <t xml:space="preserve">Bundelkhand drought relief packets (UP)</t>
  </si>
  <si>
    <t xml:space="preserve">Relief packets of flour, pulses, ghee, milk powder, oil and potatoes for poor families</t>
  </si>
  <si>
    <t xml:space="preserve">The state turned down a railway ‘water train’ and asked the Centre for 10,000 tankers instead.</t>
  </si>
  <si>
    <t xml:space="preserve">hrf209</t>
  </si>
  <si>
    <t xml:space="preserve">https://occult-kranti.github.io/fact-duel/hisaab/#/q/hrf209</t>
  </si>
  <si>
    <t xml:space="preserve">The Indian Express — Centre's offer for drought-hit Bundelkhand: UP rejects water trains, wants tankers (6 May 2016)</t>
  </si>
  <si>
    <t xml:space="preserve">https://indianexpress.com/article/cities/lucknow/centres-offer-for-drought-hit-bundelkhand-up-rejects-water-trains-wants-tankers-2786560/</t>
  </si>
  <si>
    <t xml:space="preserve">ut-cm-for-a-night-2016</t>
  </si>
  <si>
    <t xml:space="preserve">“CM for a night” cabinet decisions</t>
  </si>
  <si>
    <t xml:space="preserve">Harish Rawat (Chief Minister, Uttarakhand, INC)</t>
  </si>
  <si>
    <t xml:space="preserve">11 decisions, including higher welfare pensions and regularised guest teachers</t>
  </si>
  <si>
    <t xml:space="preserve">All lapsed within hours when the Supreme Court stayed the High Court order and central rule resumed.</t>
  </si>
  <si>
    <t xml:space="preserve">hdb115</t>
  </si>
  <si>
    <t xml:space="preserve">https://occult-kranti.github.io/fact-duel/hisaab/#/q/hdb115</t>
  </si>
  <si>
    <t xml:space="preserve">The Times of India — CM for a night, Harish Rawat clears 11 schemes in 2 cabinet meets (23 Apr 2016)</t>
  </si>
  <si>
    <t xml:space="preserve">https://timesofindia.indiatimes.com/india/cm-for-a-night-harish-rawat-clears-11-schemes-in-2-cabinet-meets/articleshow/51950982.cms</t>
  </si>
  <si>
    <t xml:space="preserve">in-ndmf-ordered-2016</t>
  </si>
  <si>
    <t xml:space="preserve">National Disaster Mitigation Fund (Swaraj Abhiyan ruling)</t>
  </si>
  <si>
    <t xml:space="preserve">Supreme Court gave the Centre three months to set up the mitigation fund the 2005 Act allowed</t>
  </si>
  <si>
    <t xml:space="preserve">NDMF guidelines came only in February 2022; by July 2025 ₹5,685 crore of projects were approved and ₹741.8 crore released.</t>
  </si>
  <si>
    <t xml:space="preserve">hrf023</t>
  </si>
  <si>
    <t xml:space="preserve">https://occult-kranti.github.io/fact-duel/hisaab/#/q/hrf023</t>
  </si>
  <si>
    <t xml:space="preserve">The Hindu — SC pulls up Centre, States for failing to tackle drought (11 May 2016)</t>
  </si>
  <si>
    <t xml:space="preserve">https://www.thehindu.com/news/national/Declaration-of-drought-Define-time-limit-Supreme-Court-tells-Centre/article60512906.ece</t>
  </si>
  <si>
    <t xml:space="preserve">in-pm-ujjwala-2016</t>
  </si>
  <si>
    <t xml:space="preserve">PM Ujjwala Yojana</t>
  </si>
  <si>
    <t xml:space="preserve">Narendra Modi (Prime Minister, BJP); Dharmendra Pradhan (Union Petroleum &amp; Natural Gas Minister, BJP)</t>
  </si>
  <si>
    <t xml:space="preserve">Deposit-free LPG connections for poor households</t>
  </si>
  <si>
    <t xml:space="preserve">8 crore by Sept 2019 (7 months early); 10.35 crore approved by 2023</t>
  </si>
  <si>
    <t xml:space="preserve">₹8,000 crore (launch outlay for 5 crore)</t>
  </si>
  <si>
    <t xml:space="preserve">UP Assembly 2017</t>
  </si>
  <si>
    <t xml:space="preserve">BJP won 312 of 403 seats</t>
  </si>
  <si>
    <t xml:space="preserve">CAG (2019): average 3.66 refills a year and 1.98 lakh ‘improbable’ high users. The BJP won 312 of 403 in UP in 2017.</t>
  </si>
  <si>
    <t xml:space="preserve">hdb026; hsc009; hsc010; hsc011; hsc012; hsc013</t>
  </si>
  <si>
    <t xml:space="preserve">https://occult-kranti.github.io/fact-duel/hisaab/#/q/hdb026 https://occult-kranti.github.io/fact-duel/hisaab/#/q/hsc009 https://occult-kranti.github.io/fact-duel/hisaab/#/q/hsc010 https://occult-kranti.github.io/fact-duel/hisaab/#/q/hsc011 https://occult-kranti.github.io/fact-duel/hisaab/#/q/hsc012 https://occult-kranti.github.io/fact-duel/hisaab/#/q/hsc013</t>
  </si>
  <si>
    <t xml:space="preserve">India Today — BJP kick-starts its Mission UP with PM Modi's Ballia visit (1 May 2016)</t>
  </si>
  <si>
    <t xml:space="preserve">https://www.indiatoday.in/india/uttar-pradesh/story/bjp-kickstarts-its-mission-up-with-pm-modis-ballia-visit-321006-2016-05-01</t>
  </si>
  <si>
    <t xml:space="preserve">tn-100-free-units-2016</t>
  </si>
  <si>
    <t xml:space="preserve">100 free power units (Tamil Nadu)</t>
  </si>
  <si>
    <t xml:space="preserve">100 free units for every household; co-operative loan waiver; more wedding gold</t>
  </si>
  <si>
    <t xml:space="preserve">About ₹1,607 crore (power); ₹5,318.73 crore waiver for 12.02 lakh farmers</t>
  </si>
  <si>
    <t xml:space="preserve">Signed on oath day as AIADMK manifesto promises, after it won 134 of 232 seats polled.</t>
  </si>
  <si>
    <t xml:space="preserve">hpe120</t>
  </si>
  <si>
    <t xml:space="preserve">https://occult-kranti.github.io/fact-duel/hisaab/#/q/hpe120</t>
  </si>
  <si>
    <t xml:space="preserve">Business Standard — Jayalalithaa keeps five poll promises on Day 1 (24 May 2016)</t>
  </si>
  <si>
    <t xml:space="preserve">https://www.business-standard.com/article/politics/jayalalithaa-keeps-five-poll-promises-on-day-1-116052300523_1.html</t>
  </si>
  <si>
    <t xml:space="preserve">up-kanya-vidya-dhan-2016</t>
  </si>
  <si>
    <t xml:space="preserve">2016-08</t>
  </si>
  <si>
    <t xml:space="preserve">Kanya Vidya Dhan</t>
  </si>
  <si>
    <t xml:space="preserve">₹30,000 to each meritorious Class 12-pass girl</t>
  </si>
  <si>
    <t xml:space="preserve">89,100 girls</t>
  </si>
  <si>
    <t xml:space="preserve">₹267.30 crore</t>
  </si>
  <si>
    <t xml:space="preserve">BJP won 312 of 403 seats; SP 47</t>
  </si>
  <si>
    <t xml:space="preserve">The SP lost in 2017 (BJP 312 of 403); in 2026 the SP promised to revive it at ₹50,000.</t>
  </si>
  <si>
    <t xml:space="preserve">hdb116</t>
  </si>
  <si>
    <t xml:space="preserve">https://occult-kranti.github.io/fact-duel/hisaab/#/q/hdb116</t>
  </si>
  <si>
    <t xml:space="preserve">The Times of India — Meritorious girl students to be given Rs 30,000 in UP (16 Aug 2016)</t>
  </si>
  <si>
    <t xml:space="preserve">https://timesofindia.indiatimes.com/uttar-pradesh/meritorious-girl-students-to-be-given-rs-30000-in-up/articleshow/53718793.cms</t>
  </si>
  <si>
    <t xml:space="preserve">up-samajwadi-smartphone-2016</t>
  </si>
  <si>
    <t xml:space="preserve">2016-10</t>
  </si>
  <si>
    <t xml:space="preserve">Samajwadi Smartphone Yojana</t>
  </si>
  <si>
    <t xml:space="preserve">Registration for free smartphones for Class 10-pass adults, due in late 2017</t>
  </si>
  <si>
    <t xml:space="preserve">More than 1.4 crore registrations</t>
  </si>
  <si>
    <t xml:space="preserve">The EC stopped registration under the code; the BJP won 312 of 403 and scrapped the scheme in April 2017.</t>
  </si>
  <si>
    <t xml:space="preserve">hpe211</t>
  </si>
  <si>
    <t xml:space="preserve">https://occult-kranti.github.io/fact-duel/hisaab/#/q/hpe211</t>
  </si>
  <si>
    <t xml:space="preserve">The Indian Express — Yogi scraps smartphone scheme of SP (19 Apr 2017)</t>
  </si>
  <si>
    <t xml:space="preserve">https://indianexpress.com/article/india/yogi-scraps-smartphone-scheme-of-sp-4618629/</t>
  </si>
  <si>
    <t xml:space="preserve">in-pmmvy-2016</t>
  </si>
  <si>
    <t xml:space="preserve">2016-12</t>
  </si>
  <si>
    <t xml:space="preserve">PM Matru Vandana Yojana</t>
  </si>
  <si>
    <t xml:space="preserve">Narendra Modi (Prime Minister, BJP); Maneka Gandhi (Union Women &amp; Child Development Minister, BJP)</t>
  </si>
  <si>
    <t xml:space="preserve">₹5,000 for a first child; ₹6,000 for a second child if a girl</t>
  </si>
  <si>
    <t xml:space="preserve">Over 4.60 crore mothers by Aug 2026</t>
  </si>
  <si>
    <t xml:space="preserve">₹21,343 crore paid by Aug 2026</t>
  </si>
  <si>
    <t xml:space="preserve">Announced in the PM’s 31 Dec 2016 address; biometric authentication mandatory since May 2025.</t>
  </si>
  <si>
    <t xml:space="preserve">hdb027; hdb044</t>
  </si>
  <si>
    <t xml:space="preserve">https://occult-kranti.github.io/fact-duel/hisaab/#/q/hdb027 https://occult-kranti.github.io/fact-duel/hisaab/#/q/hdb044</t>
  </si>
  <si>
    <t xml:space="preserve">gj-budget-2017-aiims</t>
  </si>
  <si>
    <t xml:space="preserve">Budget 2017-18: new AIIMS for Gujarat</t>
  </si>
  <si>
    <t xml:space="preserve">Arun Jaitley (Union Finance Minister, BJP)</t>
  </si>
  <si>
    <t xml:space="preserve">Two new AIIMS, in Gujarat and Jharkhand</t>
  </si>
  <si>
    <t xml:space="preserve">Gujarat Assembly 2017</t>
  </si>
  <si>
    <t xml:space="preserve">2017-12</t>
  </si>
  <si>
    <t xml:space="preserve">BJP won 99 of 182 seats; Congress 77</t>
  </si>
  <si>
    <t xml:space="preserve">The BJP kept Gujarat but fell to 99 of 182 seats; the Congress won 77.</t>
  </si>
  <si>
    <t xml:space="preserve">hpe024</t>
  </si>
  <si>
    <t xml:space="preserve">https://occult-kranti.github.io/fact-duel/hisaab/#/q/hpe024</t>
  </si>
  <si>
    <t xml:space="preserve">indiabudget.gov.in — Budget Speech 2017-18, Arun Jaitley (1 Feb 2017)</t>
  </si>
  <si>
    <t xml:space="preserve">https://www.indiabudget.gov.in/budget2017-2018/ub2017-18/bs/bs.pdf</t>
  </si>
  <si>
    <t xml:space="preserve">in-budget-2017-five-state-polls</t>
  </si>
  <si>
    <t xml:space="preserve">Union Budget 2017-18 before five-state polls</t>
  </si>
  <si>
    <t xml:space="preserve">Budget kept on 1 February; the EC said no state-specific schemes for the poll-bound states</t>
  </si>
  <si>
    <t xml:space="preserve">Assembly polls in UP, Punjab and 3 other states, 2017</t>
  </si>
  <si>
    <t xml:space="preserve">BJP won UP with 312 of 403 seats; Congress won Punjab</t>
  </si>
  <si>
    <t xml:space="preserve">Polling began three days later; the BJP took 312 of 403 in UP and the Congress won Punjab.</t>
  </si>
  <si>
    <t xml:space="preserve">hpe023</t>
  </si>
  <si>
    <t xml:space="preserve">https://occult-kranti.github.io/fact-duel/hisaab/#/q/hpe023</t>
  </si>
  <si>
    <t xml:space="preserve">Times of India — Don't announce any scheme for poll-bound states in Union Budget, EC tells government (23 Jan 2017)</t>
  </si>
  <si>
    <t xml:space="preserve">https://timesofindia.indiatimes.com/elections/news/dont-announce-any-scheme-for-poll-bound-states-in-union-budget-ec-tells-government/articleshow/56742740.cms</t>
  </si>
  <si>
    <t xml:space="preserve">hp-unemployment-allowance-2017</t>
  </si>
  <si>
    <t xml:space="preserve">2017-04</t>
  </si>
  <si>
    <t xml:space="preserve">Unemployment allowance (Himachal)</t>
  </si>
  <si>
    <t xml:space="preserve">Virbhadra Singh (Chief Minister, Himachal Pradesh, INC); Sukhwinder Singh Sukhu (President, Himachal Pradesh Congress, INC)</t>
  </si>
  <si>
    <t xml:space="preserve">₹1,000 a month for jobless youth (₹1,500 for the physically challenged)</t>
  </si>
  <si>
    <t xml:space="preserve">About 2 lakh youth</t>
  </si>
  <si>
    <t xml:space="preserve">₹150 crore</t>
  </si>
  <si>
    <t xml:space="preserve">Himachal Assembly 2017</t>
  </si>
  <si>
    <t xml:space="preserve">2017-11</t>
  </si>
  <si>
    <t xml:space="preserve">BJP won 44 of 68 seats; Congress 21</t>
  </si>
  <si>
    <t xml:space="preserve">Forms opened 211 days before polling; the BJP won 44 of 68 seats and the Congress 21.</t>
  </si>
  <si>
    <t xml:space="preserve">hpe212</t>
  </si>
  <si>
    <t xml:space="preserve">https://occult-kranti.github.io/fact-duel/hisaab/#/q/hpe212</t>
  </si>
  <si>
    <t xml:space="preserve">The Tribune — Sukhu launches allowance scheme for jobless (13 Apr 2017)</t>
  </si>
  <si>
    <t xml:space="preserve">https://www.tribuneindia.com/news/archive/community/sukhu-launches-allowance-scheme-for-jobless-391056/</t>
  </si>
  <si>
    <t xml:space="preserve">up-farm-loan-waiver-2017</t>
  </si>
  <si>
    <t xml:space="preserve">Farm loan waiver (UP, 2017)</t>
  </si>
  <si>
    <t xml:space="preserve">Yogi Adityanath (Chief Minister, Uttar Pradesh, BJP)</t>
  </si>
  <si>
    <t xml:space="preserve">Crop loans of small and marginal farmers waived up to ₹1 lakh</t>
  </si>
  <si>
    <t xml:space="preserve">Over 86 lakh farmers</t>
  </si>
  <si>
    <t xml:space="preserve">About ₹36,000 crore</t>
  </si>
  <si>
    <t xml:space="preserve">A BJP poll promise; some certificates in September 2017 waived only a few rupees.</t>
  </si>
  <si>
    <t xml:space="preserve">hdb117</t>
  </si>
  <si>
    <t xml:space="preserve">https://occult-kranti.github.io/fact-duel/hisaab/#/q/hdb117</t>
  </si>
  <si>
    <t xml:space="preserve">The Hindu — Yogi waives farm loans up to Rs. 1 lakh (4 Apr 2017)</t>
  </si>
  <si>
    <t xml:space="preserve">https://www.thehindu.com/news/national/other-states/yogi-waives-farm-loans-up-to-rs-1-lakh/article61798537.ece</t>
  </si>
  <si>
    <t xml:space="preserve">ka-co-op-loan-waiver-2017</t>
  </si>
  <si>
    <t xml:space="preserve">2017-06</t>
  </si>
  <si>
    <t xml:space="preserve">Co-operative crop loan waiver (Karnataka)</t>
  </si>
  <si>
    <t xml:space="preserve">Crop loans from co-operative banks waived up to ₹50,000 per farmer</t>
  </si>
  <si>
    <t xml:space="preserve">22.27 lakh farmers</t>
  </si>
  <si>
    <t xml:space="preserve">₹8,165 crore</t>
  </si>
  <si>
    <t xml:space="preserve">Karnataka Assembly 2018</t>
  </si>
  <si>
    <t xml:space="preserve">2018-05</t>
  </si>
  <si>
    <t xml:space="preserve">Hung House: BJP 104, Congress 78, JD(S) 37</t>
  </si>
  <si>
    <t xml:space="preserve">Announced 325 days before polling; the House was hung (BJP 104, Congress 78). No cited study links the waiver to the result.</t>
  </si>
  <si>
    <t xml:space="preserve">hdb407</t>
  </si>
  <si>
    <t xml:space="preserve">https://occult-kranti.github.io/fact-duel/hisaab/#/q/hdb407</t>
  </si>
  <si>
    <t xml:space="preserve">The Times of India — Now, Karnataka waives loans of 22 lakh farmers (22 Jun 2017)</t>
  </si>
  <si>
    <t xml:space="preserve">https://timesofindia.indiatimes.com/india/now-karnataka-waives-loans-of-22-lakh-farmers/articleshow/59260867.cms</t>
  </si>
  <si>
    <t xml:space="preserve">mh-shetkari-sanman-waiver-2017</t>
  </si>
  <si>
    <t xml:space="preserve">Shetkari Sanman loan waiver</t>
  </si>
  <si>
    <t xml:space="preserve">Devendra Fadnavis (Chief Minister, Maharashtra, BJP)</t>
  </si>
  <si>
    <t xml:space="preserve">Loans up to ₹1.5 lakh waived; settlements and up to ₹25,000 for those who repaid</t>
  </si>
  <si>
    <t xml:space="preserve">89 lakh farmers</t>
  </si>
  <si>
    <t xml:space="preserve">₹34,022 crore</t>
  </si>
  <si>
    <t xml:space="preserve">The state’s third waiver since 1980; another followed in 2019 and a fifth (₹36,585 crore) in June 2026.</t>
  </si>
  <si>
    <t xml:space="preserve">hdb408</t>
  </si>
  <si>
    <t xml:space="preserve">https://occult-kranti.github.io/fact-duel/hisaab/#/q/hdb408</t>
  </si>
  <si>
    <t xml:space="preserve">The Times of India — CM Fadnavis announces Rs 34,022cr loan waiver, to aid 89 lakh farmers (25 Jun 2017)</t>
  </si>
  <si>
    <t xml:space="preserve">https://timesofindia.indiatimes.com/city/mumbai/fadnavis-announces-rs-34022cr-loan-waiver-to-aid-89l-farmers/articleshow/59304696.cms</t>
  </si>
  <si>
    <t xml:space="preserve">ka-indira-canteens-2017</t>
  </si>
  <si>
    <t xml:space="preserve">2017-08</t>
  </si>
  <si>
    <t xml:space="preserve">Indira Canteens</t>
  </si>
  <si>
    <t xml:space="preserve">Breakfast for ₹5 and meals for ₹10 in Bengaluru ward canteens</t>
  </si>
  <si>
    <t xml:space="preserve">101 of 198 planned canteens opened at launch</t>
  </si>
  <si>
    <t xml:space="preserve">Hung: BJP 104, Congress 78, JD(S) 37 of 224</t>
  </si>
  <si>
    <t xml:space="preserve">The May 2018 poll gave a hung House; the Congress backed a JD(S)-led government.</t>
  </si>
  <si>
    <t xml:space="preserve">hpe121</t>
  </si>
  <si>
    <t xml:space="preserve">https://occult-kranti.github.io/fact-duel/hisaab/#/q/hpe121</t>
  </si>
  <si>
    <t xml:space="preserve">The Indian Express — Karnataka gets Indira Canteens: Breakfast for Rs 5, lunch for Rs 10 (17 Aug 2017)</t>
  </si>
  <si>
    <t xml:space="preserve">https://indianexpress.com/article/india/karnataka-gets-indira-canteens-breakfast-for-rs-5-lunch-for-rs-10-4800143/</t>
  </si>
  <si>
    <t xml:space="preserve">tr-ration-card-cleanup-2018</t>
  </si>
  <si>
    <t xml:space="preserve">2018</t>
  </si>
  <si>
    <t xml:space="preserve">Ration-card clean-up (Tripura)</t>
  </si>
  <si>
    <t xml:space="preserve">TR</t>
  </si>
  <si>
    <t xml:space="preserve">Tripura</t>
  </si>
  <si>
    <t xml:space="preserve">Biplab Kumar Deb (Chief Minister, Tripura, BJP)</t>
  </si>
  <si>
    <t xml:space="preserve">PDS digitisation to weed out fake cards</t>
  </si>
  <si>
    <t xml:space="preserve">62,340 fake cards; beneficiaries 39.4 lakh to 36.6 lakh</t>
  </si>
  <si>
    <t xml:space="preserve">Government figures, with no Left response in the report; officials said in 2026 that no fake cards remained.</t>
  </si>
  <si>
    <t xml:space="preserve">hdb329</t>
  </si>
  <si>
    <t xml:space="preserve">https://occult-kranti.github.io/fact-duel/hisaab/#/q/hdb329</t>
  </si>
  <si>
    <t xml:space="preserve">The Indian Express — Tripura govt identifies 60,000 fake ration card holders, detects 'ineligible' pension beneficiaries (13 Sep 2018)</t>
  </si>
  <si>
    <t xml:space="preserve">https://indianexpress.com/article/north-east-india/tripura/tripura-identifies-60000-fake-ration-card-holders-detects-ineligible-social-security-pension-beneficiaries-5355053/</t>
  </si>
  <si>
    <t xml:space="preserve">pb-farm-debt-waiver-2018</t>
  </si>
  <si>
    <t xml:space="preserve">2018-01</t>
  </si>
  <si>
    <t xml:space="preserve">Farm debt waiver (Punjab)</t>
  </si>
  <si>
    <t xml:space="preserve">Relief on loans up to ₹2 lakh for small and marginal farmers</t>
  </si>
  <si>
    <t xml:space="preserve">5.63 lakh farmers in phase one</t>
  </si>
  <si>
    <t xml:space="preserve">About ₹2,700 crore of co-operative loans (phase one)</t>
  </si>
  <si>
    <t xml:space="preserve">The BKU called it ‘fake’, saying a complete waiver was promised; ₹167.39 crore of certificates went out at launch.</t>
  </si>
  <si>
    <t xml:space="preserve">hdb120</t>
  </si>
  <si>
    <t xml:space="preserve">https://occult-kranti.github.io/fact-duel/hisaab/#/q/hdb120</t>
  </si>
  <si>
    <t xml:space="preserve">Hindustan Times — Punjab begins farm debt waiver, farmers, AAP protest (7 Jan 2018)</t>
  </si>
  <si>
    <t xml:space="preserve">https://www.hindustantimes.com/punjab/punjab-begins-farm-debt-waiver-farmers-aap-protest/story-tm9rhL84ScLBmyBoD19BFL.html</t>
  </si>
  <si>
    <t xml:space="preserve">wb-rupashree-2018</t>
  </si>
  <si>
    <t xml:space="preserve">Rupashree Prakalpa</t>
  </si>
  <si>
    <t xml:space="preserve">Amit Mitra (Finance Minister, West Bengal, TMC); Mamata Banerjee (Chief Minister, West Bengal, TMC)</t>
  </si>
  <si>
    <t xml:space="preserve">₹25,000 one-time grant for a daughter’s marriage in families under ₹1.5 lakh a year</t>
  </si>
  <si>
    <t xml:space="preserve">11.71 lakh girls by Jan 2022</t>
  </si>
  <si>
    <t xml:space="preserve">₹2,895 crore by Jan 2022; ₹693.76 crore (2025-26 revised)</t>
  </si>
  <si>
    <t xml:space="preserve">Some families combine it with Kanyashree to fund a daughter’s marriage, The Hindu reported.</t>
  </si>
  <si>
    <t xml:space="preserve">hdb302</t>
  </si>
  <si>
    <t xml:space="preserve">https://occult-kranti.github.io/fact-duel/hisaab/#/q/hdb302</t>
  </si>
  <si>
    <t xml:space="preserve">ka-bengaluru-suburban-rail-2018</t>
  </si>
  <si>
    <t xml:space="preserve">2018-02</t>
  </si>
  <si>
    <t xml:space="preserve">Budget 2018-19: Bengaluru suburban rail</t>
  </si>
  <si>
    <t xml:space="preserve">A 160-km suburban rail network for Bengaluru</t>
  </si>
  <si>
    <t xml:space="preserve">₹17,000 crore (estimate)</t>
  </si>
  <si>
    <t xml:space="preserve">Hung House: BJP 104 of 224, Congress 78, JD(S) 37</t>
  </si>
  <si>
    <t xml:space="preserve">Karnataka returned a hung House (BJP 104); by August 2026 the line was 19.95% built against a March 2030 deadline.</t>
  </si>
  <si>
    <t xml:space="preserve">hpe025</t>
  </si>
  <si>
    <t xml:space="preserve">https://occult-kranti.github.io/fact-duel/hisaab/#/q/hpe025</t>
  </si>
  <si>
    <t xml:space="preserve">indiabudget.gov.in — Budget Speech 2018-19, Arun Jaitley (1 Feb 2018)</t>
  </si>
  <si>
    <t xml:space="preserve">https://www.indiabudget.gov.in/budget2018-2019/ub2018-19/bs/bs.pdf</t>
  </si>
  <si>
    <t xml:space="preserve">rj-crop-loan-waiver-2018</t>
  </si>
  <si>
    <t xml:space="preserve">Crop loan waiver (Rajasthan, 2018)</t>
  </si>
  <si>
    <t xml:space="preserve">One-time waiver of up to ₹50,000 on overdue co-operative crop loans for small farmers</t>
  </si>
  <si>
    <t xml:space="preserve">₹8,000 crore</t>
  </si>
  <si>
    <t xml:space="preserve">Rajasthan Assembly 2018</t>
  </si>
  <si>
    <t xml:space="preserve">2018-12</t>
  </si>
  <si>
    <t xml:space="preserve">Congress won 100 of 199 seats and formed the government; BJP 73</t>
  </si>
  <si>
    <t xml:space="preserve">Announced 298 days before polling; the BJP lost (Congress 100 of 199, BJP 73).</t>
  </si>
  <si>
    <t xml:space="preserve">hdb119</t>
  </si>
  <si>
    <t xml:space="preserve">https://occult-kranti.github.io/fact-duel/hisaab/#/q/hdb119</t>
  </si>
  <si>
    <t xml:space="preserve">The Times of India — Rajasthan announces loan waiver for farmers, to cost Rs 8,000 crore (12 Feb 2018)</t>
  </si>
  <si>
    <t xml:space="preserve">https://timesofindia.indiatimes.com/india/rajasthan-announces-loan-waiver-for-farmers-to-cost-rs-8000-crore/articleshow/62887502.cms</t>
  </si>
  <si>
    <t xml:space="preserve">tg-rythu-bandhu-2018</t>
  </si>
  <si>
    <t xml:space="preserve">Rythu Bandhu</t>
  </si>
  <si>
    <t xml:space="preserve">₹4,000 an acre per season to landowning farmers (₹10,000 a year from 2019)</t>
  </si>
  <si>
    <t xml:space="preserve">About 58 lakh farmers</t>
  </si>
  <si>
    <t xml:space="preserve">About ₹12,000 crore a year</t>
  </si>
  <si>
    <t xml:space="preserve">Telangana Assembly 2018</t>
  </si>
  <si>
    <t xml:space="preserve">TRS won 88 of 119 seats; Congress 19</t>
  </si>
  <si>
    <t xml:space="preserve">Launched 211 days before polling; the TRS won 88 of 119. Replaced by Rythu Bharosa in 2025.</t>
  </si>
  <si>
    <t xml:space="preserve">hdb218; hst263</t>
  </si>
  <si>
    <t xml:space="preserve">https://occult-kranti.github.io/fact-duel/hisaab/#/q/hdb218 https://occult-kranti.github.io/fact-duel/hisaab/#/q/hst263</t>
  </si>
  <si>
    <t xml:space="preserve">Times of India — K Chandrasekhar Rao rolls out Rythu Bandhu, sop a balm for 58 lakh farmers (11 May 2018)</t>
  </si>
  <si>
    <t xml:space="preserve">https://timesofindia.indiatimes.com/city/hyderabad/k-chandrasekhar-rao-rolls-out-rythu-bandhu-sop-a-balm-for-58-lakh-farmers/articleshow/64119910.cms</t>
  </si>
  <si>
    <t xml:space="preserve">mp-sambal-2018</t>
  </si>
  <si>
    <t xml:space="preserve">2018-06</t>
  </si>
  <si>
    <t xml:space="preserve">Sambal flat power bill</t>
  </si>
  <si>
    <t xml:space="preserve">Power bills capped at ₹200 a month for unorganised workers and BPL families; dues waived</t>
  </si>
  <si>
    <t xml:space="preserve">88 lakh families expected; 38.9 lakh registered in 10 days</t>
  </si>
  <si>
    <t xml:space="preserve">Madhya Pradesh Assembly 2018</t>
  </si>
  <si>
    <t xml:space="preserve">2018-11</t>
  </si>
  <si>
    <t xml:space="preserve">Congress won 114 of 230; BJP 109</t>
  </si>
  <si>
    <t xml:space="preserve">The Congress won 114 of 230. CAG (2025): a workers’ welfare board paid ₹416.33 crore toward the waiver subsidy.</t>
  </si>
  <si>
    <t xml:space="preserve">hpe125</t>
  </si>
  <si>
    <t xml:space="preserve">https://occult-kranti.github.io/fact-duel/hisaab/#/q/hpe125</t>
  </si>
  <si>
    <t xml:space="preserve">ET EnergyWorld — Madhya Pradesh power schemes: Over 38 lakh people register in 10 days (11 Jul 2018)</t>
  </si>
  <si>
    <t xml:space="preserve">https://energy.economictimes.indiatimes.com/news/power/mp-power-schemes-over-38-lakh-people-register-in-10-days/64946133</t>
  </si>
  <si>
    <t xml:space="preserve">ct-sanchar-kranti-2018</t>
  </si>
  <si>
    <t xml:space="preserve">2018-07</t>
  </si>
  <si>
    <t xml:space="preserve">Sanchar Kranti smartphones</t>
  </si>
  <si>
    <t xml:space="preserve">Free smartphones for rural women, poor urban women and college students</t>
  </si>
  <si>
    <t xml:space="preserve">About 50 lakh phones planned</t>
  </si>
  <si>
    <t xml:space="preserve">₹1,467.90 crore</t>
  </si>
  <si>
    <t xml:space="preserve">Chhattisgarh Assembly 2018</t>
  </si>
  <si>
    <t xml:space="preserve">Congress won 68 of 90; BJP 15</t>
  </si>
  <si>
    <t xml:space="preserve">The Congress won 68 of 90 seats; in December 2018 the new government postponed distribution with about 20 lakh phones undelivered.</t>
  </si>
  <si>
    <t xml:space="preserve">hpe123</t>
  </si>
  <si>
    <t xml:space="preserve">https://occult-kranti.github.io/fact-duel/hisaab/#/q/hpe123</t>
  </si>
  <si>
    <t xml:space="preserve">The Indian Express — Chhattisgarh: 50 lakh people to get smartphones under Sanchar Kranti Yojana (27 Jul 2018)</t>
  </si>
  <si>
    <t xml:space="preserve">https://indianexpress.com/article/india/dual-sim-smartphones-for-50-lakh-chhattisgarh-beneficiaries-under-sanchar-kranti-yojana-5280052/</t>
  </si>
  <si>
    <t xml:space="preserve">ka-farm-loan-waiver-2018</t>
  </si>
  <si>
    <t xml:space="preserve">Farm loan waiver (Karnataka, 2018)</t>
  </si>
  <si>
    <t xml:space="preserve">JD(S)</t>
  </si>
  <si>
    <t xml:space="preserve">H.D. Kumaraswamy (Chief Minister and Finance Minister, Karnataka, JD(S))</t>
  </si>
  <si>
    <t xml:space="preserve">Crop loans up to ₹2 lakh defaulted by Dec 2017 waived; up to ₹25,000 to farmers who had repaid</t>
  </si>
  <si>
    <t xml:space="preserve">₹34,000 crore (PRS)</t>
  </si>
  <si>
    <t xml:space="preserve">The first budget of the JD(S)–Congress coalition formed after the hung 2018 verdict.</t>
  </si>
  <si>
    <t xml:space="preserve">hdb219</t>
  </si>
  <si>
    <t xml:space="preserve">https://occult-kranti.github.io/fact-duel/hisaab/#/q/hdb219</t>
  </si>
  <si>
    <t xml:space="preserve">PRS Legislative Research — Karnataka Budget Analysis 2018-19</t>
  </si>
  <si>
    <t xml:space="preserve">https://prsindia.org/budgets/states/karnataka-budget-analysis-2018-19</t>
  </si>
  <si>
    <t xml:space="preserve">kl-cmdrf-2018-floods</t>
  </si>
  <si>
    <t xml:space="preserve">2018-08</t>
  </si>
  <si>
    <t xml:space="preserve">Kerala CM’s Distress Relief Fund (2018 floods)</t>
  </si>
  <si>
    <t xml:space="preserve">Pinarayi Vijayan (Chief Minister, Kerala, CPI(M))</t>
  </si>
  <si>
    <t xml:space="preserve">Donations, including a month’s salary sought from state staff, for flood relief</t>
  </si>
  <si>
    <t xml:space="preserve">₹4,970.29 crore received and ₹4,724.43 crore allotted (2018 and 2019 floods)</t>
  </si>
  <si>
    <t xml:space="preserve">The SC upheld a stay on compulsion (2018); police chargesheeted seven over ₹27.73 lakh they say was diverted (2021); the Lokayukta dismissed a separate misuse plea (2023).</t>
  </si>
  <si>
    <t xml:space="preserve">hrf119; hrf128; hrf139</t>
  </si>
  <si>
    <t xml:space="preserve">https://occult-kranti.github.io/fact-duel/hisaab/#/q/hrf119 https://occult-kranti.github.io/fact-duel/hisaab/#/q/hrf128 https://occult-kranti.github.io/fact-duel/hisaab/#/q/hrf139</t>
  </si>
  <si>
    <t xml:space="preserve">The Hindu — SC junks Kerala order on Salary Challenge (29 Oct 2018)</t>
  </si>
  <si>
    <t xml:space="preserve">https://www.thehindu.com/news/national/kerala/sc-junks-kerala-order-on-salary-challenge/article25362589.ece</t>
  </si>
  <si>
    <t xml:space="preserve">in-pm-jay-2018</t>
  </si>
  <si>
    <t xml:space="preserve">2018-09</t>
  </si>
  <si>
    <t xml:space="preserve">Ayushman Bharat PM-JAY</t>
  </si>
  <si>
    <t xml:space="preserve">Free hospital cover up to ₹5 lakh a family a year</t>
  </si>
  <si>
    <t xml:space="preserve">10.74 crore families (about 50 crore people) targeted</t>
  </si>
  <si>
    <t xml:space="preserve">Assembly polls in 5 states, Nov–Dec 2018</t>
  </si>
  <si>
    <t xml:space="preserve">Congress won Madhya Pradesh (114 of 230), Rajasthan (99 of 199) and Chhattisgarh</t>
  </si>
  <si>
    <t xml:space="preserve">CAG (2023) found registrations on invalid phone numbers and ₹6.97 crore paid for patients recorded dead; the ministry contested both.</t>
  </si>
  <si>
    <t xml:space="preserve">hpe026; hsc005; hsc007; hsc008</t>
  </si>
  <si>
    <t xml:space="preserve">https://occult-kranti.github.io/fact-duel/hisaab/#/q/hpe026 https://occult-kranti.github.io/fact-duel/hisaab/#/q/hsc005 https://occult-kranti.github.io/fact-duel/hisaab/#/q/hsc007 https://occult-kranti.github.io/fact-duel/hisaab/#/q/hsc008</t>
  </si>
  <si>
    <t xml:space="preserve">The Hindu — PM Modi launches Ayushman Bharat healthcare scheme (23 Sep 2018)</t>
  </si>
  <si>
    <t xml:space="preserve">https://www.thehindu.com/news/national/pm-modi-launches-ayushman-bharat-scheme/article25020146.ece</t>
  </si>
  <si>
    <t xml:space="preserve">ap-cyclone-titli-2018</t>
  </si>
  <si>
    <t xml:space="preserve">2018-10</t>
  </si>
  <si>
    <t xml:space="preserve">Cyclone Titli relief claim (Andhra Pradesh)</t>
  </si>
  <si>
    <t xml:space="preserve">State relief within 20 days; state put losses at ₹3,673 crore and sought central aid</t>
  </si>
  <si>
    <t xml:space="preserve">A central high-level committee approved additional NDRF aid for Andhra Pradesh in December 2018.</t>
  </si>
  <si>
    <t xml:space="preserve">hrf120</t>
  </si>
  <si>
    <t xml:space="preserve">https://occult-kranti.github.io/fact-duel/hisaab/#/q/hrf120</t>
  </si>
  <si>
    <t xml:space="preserve">The News Minute — Cyclone Titli: Central team meets Andhra CM, Naidu urges quick release of aid (27 Oct 2018)</t>
  </si>
  <si>
    <t xml:space="preserve">https://www.thenewsminute.com/andhra-pradesh/cyclone-titli-central-team-meets-andhra-cm-naidu-urges-quick-release-aid-90642</t>
  </si>
  <si>
    <t xml:space="preserve">kl-floods-ndrf-2018</t>
  </si>
  <si>
    <t xml:space="preserve">Kerala floods: NDRF award</t>
  </si>
  <si>
    <t xml:space="preserve">Rajnath Singh (Union Home Minister (chair, High Level Committee), BJP)</t>
  </si>
  <si>
    <t xml:space="preserve">₹3,048.39 crore additional central aid</t>
  </si>
  <si>
    <t xml:space="preserve">About 65% of the ₹4,700 crore sought, approved nearly four months after the floods.</t>
  </si>
  <si>
    <t xml:space="preserve">hrf025</t>
  </si>
  <si>
    <t xml:space="preserve">https://occult-kranti.github.io/fact-duel/hisaab/#/q/hrf025</t>
  </si>
  <si>
    <t xml:space="preserve">The Hindu — Kerala to get ₹3,048 crore as flood relief (6 Dec 2018)</t>
  </si>
  <si>
    <t xml:space="preserve">https://www.thehindu.com/news/national/kerala-to-get-3048-crore-as-flood-relief/article25682123.ece</t>
  </si>
  <si>
    <t xml:space="preserve">mp-loan-waiver-2018</t>
  </si>
  <si>
    <t xml:space="preserve">Farm loan waiver on oath day (MP)</t>
  </si>
  <si>
    <t xml:space="preserve">Kamal Nath (Chief Minister, Madhya Pradesh, INC)</t>
  </si>
  <si>
    <t xml:space="preserve">Short-term crop loans up to ₹2 lakh written off</t>
  </si>
  <si>
    <t xml:space="preserve">A Congress campaign promise signed hours after oath; the Congress had won 114 of 230.</t>
  </si>
  <si>
    <t xml:space="preserve">hpe126</t>
  </si>
  <si>
    <t xml:space="preserve">https://occult-kranti.github.io/fact-duel/hisaab/#/q/hpe126</t>
  </si>
  <si>
    <t xml:space="preserve">The Hindu — Madhya Pradesh CM Kamal Nath waives off farm loans up to ₹2 lakh (17 Dec 2018)</t>
  </si>
  <si>
    <t xml:space="preserve">https://www.thehindu.com/news/national/mp-cm-kamal-nath-waives-off-farm-loans-up-to-2-lakh/article62015750.ece</t>
  </si>
  <si>
    <t xml:space="preserve">od-kalia-2018</t>
  </si>
  <si>
    <t xml:space="preserve">KALIA</t>
  </si>
  <si>
    <t xml:space="preserve">₹10,000 a year for small farm families, ₹12,500 for landless households; interest-free crop loans</t>
  </si>
  <si>
    <t xml:space="preserve">About 75 lakh farm families sought; 37 lakh paid before the code</t>
  </si>
  <si>
    <t xml:space="preserve">₹10,180 crore over three years; ₹9,333 crore disbursed</t>
  </si>
  <si>
    <t xml:space="preserve">Odisha Assembly 2019</t>
  </si>
  <si>
    <t xml:space="preserve">2019-04</t>
  </si>
  <si>
    <t xml:space="preserve">BJD won 112 of 146 seats polled; BJP 23, Congress 9</t>
  </si>
  <si>
    <t xml:space="preserve">The BJD won 112 of 146 in 2019. CAG (2024): 12.72 lakh ineligible people got ₹782.26 crore. Repackaged as CM-KISAN.</t>
  </si>
  <si>
    <t xml:space="preserve">hdb315; hst313; hdb316</t>
  </si>
  <si>
    <t xml:space="preserve">https://occult-kranti.github.io/fact-duel/hisaab/#/q/hdb315 https://occult-kranti.github.io/fact-duel/hisaab/#/q/hst313 https://occult-kranti.github.io/fact-duel/hisaab/#/q/hdb316</t>
  </si>
  <si>
    <t xml:space="preserve">The Indian Express — Odisha CM skips loan waiver, declares financial aid for farmers (22 Dec 2018)</t>
  </si>
  <si>
    <t xml:space="preserve">https://indianexpress.com/article/india/odisha-cm-skips-loan-waiver-declares-financial-aide-for-farmers-5504787/</t>
  </si>
  <si>
    <t xml:space="preserve">tn-cyclone-gaja-2018</t>
  </si>
  <si>
    <t xml:space="preserve">Cyclone Gaja: NDRF award</t>
  </si>
  <si>
    <t xml:space="preserve">₹1,146.12 crore additional NDRF aid</t>
  </si>
  <si>
    <t xml:space="preserve">Against ₹15,000 crore sought; over three lakh people were displaced.</t>
  </si>
  <si>
    <t xml:space="preserve">hrf210</t>
  </si>
  <si>
    <t xml:space="preserve">https://occult-kranti.github.io/fact-duel/hisaab/#/q/hrf210</t>
  </si>
  <si>
    <t xml:space="preserve">The News Minute — Cyclone Gaja: Centre clears Rs 1,146 crore relief for Tamil Nadu (2 Jan 2019)</t>
  </si>
  <si>
    <t xml:space="preserve">https://www.thenewsminute.com/tamil-nadu/cyclone-gaja-centre-clears-rs-1146-crore-relief-tamil-nadu-94333</t>
  </si>
  <si>
    <t xml:space="preserve">wb-krishak-bandhu-2018</t>
  </si>
  <si>
    <t xml:space="preserve">Krishak Bandhu</t>
  </si>
  <si>
    <t xml:space="preserve">₹5,000 an acre a year; ₹2 lakh to the family of a farmer who dies aged 18–60</t>
  </si>
  <si>
    <t xml:space="preserve">37.7 lakh farmers by Sept 2019</t>
  </si>
  <si>
    <t xml:space="preserve">₹478 crore paid by Sept 2019</t>
  </si>
  <si>
    <t xml:space="preserve">Lok Sabha 2019 (West Bengal)</t>
  </si>
  <si>
    <t xml:space="preserve">TMC won 22 of 42 seats; BJP 18</t>
  </si>
  <si>
    <t xml:space="preserve">The TMC won 22 of 42 Lok Sabha seats in 2019; aid doubled to ₹10,000 in 2021.</t>
  </si>
  <si>
    <t xml:space="preserve">hdb303</t>
  </si>
  <si>
    <t xml:space="preserve">https://occult-kranti.github.io/fact-duel/hisaab/#/q/hdb303</t>
  </si>
  <si>
    <t xml:space="preserve">The Indian Express — Krishak Bandhu Scheme: Rs 500 crore disbursed to 37 lakh farmers in eight months (21 Oct 2019)</t>
  </si>
  <si>
    <t xml:space="preserve">https://indianexpress.com/article/cities/kolkata/krishak-bandhu-scheme-rs-500-crore-disbursed-to-37-lakh-farmers-in-eight-months-6079520/</t>
  </si>
  <si>
    <t xml:space="preserve">ap-ysr-pension-kanuka-2019</t>
  </si>
  <si>
    <t xml:space="preserve">2019</t>
  </si>
  <si>
    <t xml:space="preserve">YSR Pension Kanuka</t>
  </si>
  <si>
    <t xml:space="preserve">YSRCP</t>
  </si>
  <si>
    <t xml:space="preserve">Y.S. Jagan Mohan Reddy (Chief Minister, Andhra Pradesh, YSRCP)</t>
  </si>
  <si>
    <t xml:space="preserve">Social security pensions: the largest welfare line in the YSRCP’s first budget</t>
  </si>
  <si>
    <t xml:space="preserve">₹15,747 crore (2019-20 budget, PRS)</t>
  </si>
  <si>
    <t xml:space="preserve">With Rythu Bharosa and Amma Vodi it took about ₹30,950 crore, roughly a sixth of the 2019-20 revenue budget (PRS).</t>
  </si>
  <si>
    <t xml:space="preserve">hdb223</t>
  </si>
  <si>
    <t xml:space="preserve">https://occult-kranti.github.io/fact-duel/hisaab/#/q/hdb223</t>
  </si>
  <si>
    <t xml:space="preserve">PRS Legislative Research — Andhra Pradesh Budget Analysis 2019-20</t>
  </si>
  <si>
    <t xml:space="preserve">https://prsindia.org/budgets/states/andhra-pradesh-budget-analysis-2019-2020</t>
  </si>
  <si>
    <t xml:space="preserve">ct-farm-loan-waiver-2019</t>
  </si>
  <si>
    <t xml:space="preserve">Farm loan waiver and ₹2,500 paddy (Chhattisgarh)</t>
  </si>
  <si>
    <t xml:space="preserve">Bhupesh Baghel (Chief Minister, Chhattisgarh, INC)</t>
  </si>
  <si>
    <t xml:space="preserve">Short-term farm loans waived; paddy bought at ₹2,500 a quintal</t>
  </si>
  <si>
    <t xml:space="preserve">About 20 lakh farmers</t>
  </si>
  <si>
    <t xml:space="preserve">₹5,000 crore for the waiver and ₹5,000 crore for paddy (2019-20 budget, PRS)</t>
  </si>
  <si>
    <t xml:space="preserve">Extra grain and co-operative spending in 2018-19 turned the state’s revenue surplus into a deficit (PRS).</t>
  </si>
  <si>
    <t xml:space="preserve">hdb224</t>
  </si>
  <si>
    <t xml:space="preserve">https://occult-kranti.github.io/fact-duel/hisaab/#/q/hdb224</t>
  </si>
  <si>
    <t xml:space="preserve">PRS Legislative Research — Chhattisgarh Budget Analysis 2019-20</t>
  </si>
  <si>
    <t xml:space="preserve">https://prsindia.org/budgets/states/chhattisgarh-budget-analysis-2019-20</t>
  </si>
  <si>
    <t xml:space="preserve">hr-parivar-samridhi-2019</t>
  </si>
  <si>
    <t xml:space="preserve">Mukhya Mantri Parivar Samridhi Yojana</t>
  </si>
  <si>
    <t xml:space="preserve">₹6,000 a year promised to poor families</t>
  </si>
  <si>
    <t xml:space="preserve">13.51 lakh families enrolled; 8.78 lakh paid by mid-2021</t>
  </si>
  <si>
    <t xml:space="preserve">₹270.84 crore paid by mid-2021</t>
  </si>
  <si>
    <t xml:space="preserve">About ₹3,086 per family against ₹12,000 due over two years, an IAS officer’s review found; richer districts dominated.</t>
  </si>
  <si>
    <t xml:space="preserve">hdb127</t>
  </si>
  <si>
    <t xml:space="preserve">https://occult-kranti.github.io/fact-duel/hisaab/#/q/hdb127</t>
  </si>
  <si>
    <t xml:space="preserve">The Indian Express — Haryana’s Mukhya Mantri Parivar Samridhi Yojana: ‘Maximum poor families availing benefits are from richest districts’ (22 Jun 2021)</t>
  </si>
  <si>
    <t xml:space="preserve">https://indianexpress.com/article/cities/chandigarh/haryanas-mukhya-mantri-parivar-samridhi-yojana-maximum-poor-families-availing-benefits-are-from-richest-districts-7369790/</t>
  </si>
  <si>
    <t xml:space="preserve">in-ews-quota-2019</t>
  </si>
  <si>
    <t xml:space="preserve">2019-01</t>
  </si>
  <si>
    <t xml:space="preserve">10% EWS quota amendment</t>
  </si>
  <si>
    <t xml:space="preserve">Thaawarchand Gehlot (Union Social Justice Minister, BJP)</t>
  </si>
  <si>
    <t xml:space="preserve">10% reservation in jobs and education for economically weaker sections</t>
  </si>
  <si>
    <t xml:space="preserve">Lok Sabha 2019</t>
  </si>
  <si>
    <t xml:space="preserve">BJP won 303 of 543 seats</t>
  </si>
  <si>
    <t xml:space="preserve">Passed 323–3; the BJP won 303 seats. The Supreme Court upheld the 103rd Amendment 3:2 in November 2022.</t>
  </si>
  <si>
    <t xml:space="preserve">hpe027</t>
  </si>
  <si>
    <t xml:space="preserve">https://occult-kranti.github.io/fact-duel/hisaab/#/q/hpe027</t>
  </si>
  <si>
    <t xml:space="preserve">Mint — Quota bill passed in Lok Sabha with near unanimous vote (8 Jan 2019)</t>
  </si>
  <si>
    <t xml:space="preserve">https://www.livemint.com/Politics/f8v46qvKEfV9lKm4QUmfHI/Lok-Sabha-clears-quota-bill-with-nearfull-majority.html</t>
  </si>
  <si>
    <t xml:space="preserve">sk-one-family-one-job-2019</t>
  </si>
  <si>
    <t xml:space="preserve">One Family, One Job</t>
  </si>
  <si>
    <t xml:space="preserve">SDF</t>
  </si>
  <si>
    <t xml:space="preserve">Pawan Kumar Chamling (Chief Minister, Sikkim, SDF)</t>
  </si>
  <si>
    <t xml:space="preserve">Temporary government jobs for families with none; 20,000 promised</t>
  </si>
  <si>
    <t xml:space="preserve">11,772 appointment letters on day one</t>
  </si>
  <si>
    <t xml:space="preserve">Sikkim Assembly 2019</t>
  </si>
  <si>
    <t xml:space="preserve">SKM won 17 of 32 seats; SDF 15, ending 25 years of SDF rule</t>
  </si>
  <si>
    <t xml:space="preserve">The SDF lost (SKM 17, SDF 15). Under the SKM 191 were regularised in 2021-22 and 43 in 2022-23; in 2024 it announced regularising 20,000 temporary workers.</t>
  </si>
  <si>
    <t xml:space="preserve">hdb331</t>
  </si>
  <si>
    <t xml:space="preserve">https://occult-kranti.github.io/fact-duel/hisaab/#/q/hdb331</t>
  </si>
  <si>
    <t xml:space="preserve">India Today — Sikkim launches 'One Family, One Job' scheme (13 Jan 2019)</t>
  </si>
  <si>
    <t xml:space="preserve">https://www.indiatoday.in/education-today/gk-%26-current-affairs/story/sikkim-launches-one-family-one-job-scheme-1430035-2019-01-13</t>
  </si>
  <si>
    <t xml:space="preserve">ap-annadata-sukhibhava-2019</t>
  </si>
  <si>
    <t xml:space="preserve">2019-02</t>
  </si>
  <si>
    <t xml:space="preserve">Annadata Sukhibhava</t>
  </si>
  <si>
    <t xml:space="preserve">Yanamala Ramakrishnudu (Finance Minister, Andhra Pradesh, TDP)</t>
  </si>
  <si>
    <t xml:space="preserve">₹5,000 crore farm-aid allocation in the February 2019 vote on account</t>
  </si>
  <si>
    <t xml:space="preserve">Andhra Pradesh Assembly 2019</t>
  </si>
  <si>
    <t xml:space="preserve">YSRCP won 151 of 175; TDP 23</t>
  </si>
  <si>
    <t xml:space="preserve">Polls were announced before the first instalment reached farmers; the YSRCP won 151 of 175 and replaced it with YSR Rythu Bharosa.</t>
  </si>
  <si>
    <t xml:space="preserve">hpe127</t>
  </si>
  <si>
    <t xml:space="preserve">https://occult-kranti.github.io/fact-duel/hisaab/#/q/hpe127</t>
  </si>
  <si>
    <t xml:space="preserve">Hindustan Times — Jagan Reddy scraps Chandrababu Naidu's farmer scheme, unveils new plan (6 Jun 2019)</t>
  </si>
  <si>
    <t xml:space="preserve">https://www.hindustantimes.com/india-news/jagan-reddy-scraps-chandrababu-naidu-s-farmer-scheme-unveils-new-plan/story-nW2TalpA9nXev1sh7MRobN.html</t>
  </si>
  <si>
    <t xml:space="preserve">ap-pasupu-kumkuma-2019</t>
  </si>
  <si>
    <t xml:space="preserve">Pasupu-Kumkuma</t>
  </si>
  <si>
    <t xml:space="preserve">₹10,000 each in three instalments plus a smartphone for SHG women</t>
  </si>
  <si>
    <t xml:space="preserve">97.94 lakh SHG members (state figure)</t>
  </si>
  <si>
    <t xml:space="preserve">₹9,794 crore (state figure)</t>
  </si>
  <si>
    <t xml:space="preserve">YSRCP won 151 of 175 seats; TDP 23</t>
  </si>
  <si>
    <t xml:space="preserve">The EC found no code breach as the scheme predated the code; the YSRCP won 151 of 175 seats and the TDP 23.</t>
  </si>
  <si>
    <t xml:space="preserve">hdb221</t>
  </si>
  <si>
    <t xml:space="preserve">https://occult-kranti.github.io/fact-duel/hisaab/#/q/hdb221</t>
  </si>
  <si>
    <t xml:space="preserve">The Indian Express — 'Pasupu Kumkuma': Andhra govt scheme for women gets EC nod (5 Apr 2019)</t>
  </si>
  <si>
    <t xml:space="preserve">https://indianexpress.com/article/india/pasupu-kumkuma-andhra-govt-scheme-for-women-gets-ec-nod-5659477/</t>
  </si>
  <si>
    <t xml:space="preserve">hr-budget-2019-social-security</t>
  </si>
  <si>
    <t xml:space="preserve">Haryana budget: two social-security schemes</t>
  </si>
  <si>
    <t xml:space="preserve">Captain Abhimanyu Singh Sandhu (Finance Minister, Haryana, BJP)</t>
  </si>
  <si>
    <t xml:space="preserve">Schemes for farm families with up to 5 acres and unorganised workers earning under ₹15,000 a month</t>
  </si>
  <si>
    <t xml:space="preserve">₹1,500 crore (2019-20 budget)</t>
  </si>
  <si>
    <t xml:space="preserve">Haryana Assembly 2019</t>
  </si>
  <si>
    <t xml:space="preserve">2019-10</t>
  </si>
  <si>
    <t xml:space="preserve">BJP won 40 of 90 seats; Congress 31: a hung House</t>
  </si>
  <si>
    <t xml:space="preserve">The BJP won 40 of 90 seats in October 2019, six short of a majority.</t>
  </si>
  <si>
    <t xml:space="preserve">hpe213</t>
  </si>
  <si>
    <t xml:space="preserve">https://occult-kranti.github.io/fact-duel/hisaab/#/q/hpe213</t>
  </si>
  <si>
    <t xml:space="preserve">PRS Legislative Research — Haryana Budget Analysis 2019-20</t>
  </si>
  <si>
    <t xml:space="preserve">https://prsindia.org/budgets/states/haryana-budget-analysis-2019-20</t>
  </si>
  <si>
    <t xml:space="preserve">in-interim-budget-2019-tax-rebate</t>
  </si>
  <si>
    <t xml:space="preserve">Interim budget 2019 tax rebate</t>
  </si>
  <si>
    <t xml:space="preserve">Piyush Goyal (Union Finance Minister (interim budget), BJP)</t>
  </si>
  <si>
    <t xml:space="preserve">Full rebate on taxable income up to ₹5 lakh; standard deduction up to ₹50,000</t>
  </si>
  <si>
    <t xml:space="preserve">About 3 crore taxpayers</t>
  </si>
  <si>
    <t xml:space="preserve">₹18,500 crore plus ₹4,700 crore</t>
  </si>
  <si>
    <t xml:space="preserve">Polling began 69 days later and the BJP won 303 of 543. The cited sources make no causal claim.</t>
  </si>
  <si>
    <t xml:space="preserve">hpe028</t>
  </si>
  <si>
    <t xml:space="preserve">https://occult-kranti.github.io/fact-duel/hisaab/#/q/hpe028</t>
  </si>
  <si>
    <t xml:space="preserve">indiabudget.gov.in — Interim Budget 2019-20 speech, Piyush Goyal (1 Feb 2019)</t>
  </si>
  <si>
    <t xml:space="preserve">https://www.indiabudget.gov.in/budget2019-20(I)/ub2019-20/bs/bs.pdf</t>
  </si>
  <si>
    <t xml:space="preserve">in-pm-kisan-2019</t>
  </si>
  <si>
    <t xml:space="preserve">PM-KISAN</t>
  </si>
  <si>
    <t xml:space="preserve">Piyush Goyal (Union Finance Minister (interim budget), BJP); Narendra Modi (Prime Minister, BJP)</t>
  </si>
  <si>
    <t xml:space="preserve">₹6,000 a year in three instalments to landholding farmer families</t>
  </si>
  <si>
    <t xml:space="preserve">1.01 crore at the first instalment; 9.59 crore at the 18th</t>
  </si>
  <si>
    <t xml:space="preserve">₹75,000 crore (2019-20); ₹3.68 lakh crore paid by Mar 2025</t>
  </si>
  <si>
    <t xml:space="preserve">BJP 303 of 543; INC 52</t>
  </si>
  <si>
    <t xml:space="preserve">First paid 46 days before polling; BJP won 303. ₹2,992.75 crore went to 42 lakh ineligible people; ₹416 crore recovered by 2025.</t>
  </si>
  <si>
    <t xml:space="preserve">hdb028; hdb029; hsc001; hsc002; hsc003; hsc004</t>
  </si>
  <si>
    <t xml:space="preserve">https://occult-kranti.github.io/fact-duel/hisaab/#/q/hdb028 https://occult-kranti.github.io/fact-duel/hisaab/#/q/hdb029 https://occult-kranti.github.io/fact-duel/hisaab/#/q/hsc001 https://occult-kranti.github.io/fact-duel/hisaab/#/q/hsc002 https://occult-kranti.github.io/fact-duel/hisaab/#/q/hsc003 https://occult-kranti.github.io/fact-duel/hisaab/#/q/hsc004</t>
  </si>
  <si>
    <t xml:space="preserve">Hindustan Times — PM Modi launches direct cash benefit scheme for farmers (24 Feb 2019)</t>
  </si>
  <si>
    <t xml:space="preserve">https://www.hindustantimes.com/india-news/lok-sabha-elections-2019-pm-modi-launches-direct-cash-benefit-scheme-for-farmers/story-pMWZuh8iPInFUJFjZXiWqI.html</t>
  </si>
  <si>
    <t xml:space="preserve">in-pm-shram-yogi-maandhan-2019</t>
  </si>
  <si>
    <t xml:space="preserve">PM Shram Yogi Maandhan</t>
  </si>
  <si>
    <t xml:space="preserve">Piyush Goyal (Union Finance Minister (interim charge), BJP)</t>
  </si>
  <si>
    <t xml:space="preserve">₹3,000 a month pension from 60 for informal workers, contributions matched by the Centre</t>
  </si>
  <si>
    <t xml:space="preserve">10 crore targeted in five years; 54 lakh enrolled by July 2026</t>
  </si>
  <si>
    <t xml:space="preserve">₹500 crore allocated (2019)</t>
  </si>
  <si>
    <t xml:space="preserve">Centre’s matching contributions totalled ₹2,011.01 crore by July 2026; pensions start no earlier than 2039.</t>
  </si>
  <si>
    <t xml:space="preserve">hdb030</t>
  </si>
  <si>
    <t xml:space="preserve">https://occult-kranti.github.io/fact-duel/hisaab/#/q/hdb030</t>
  </si>
  <si>
    <t xml:space="preserve">indiabudget.gov.in — Interim Budget Speech 2019-20, Piyush Goyal (1 Feb 2019)</t>
  </si>
  <si>
    <t xml:space="preserve">jh-krishi-ashirwad-2019</t>
  </si>
  <si>
    <t xml:space="preserve">Mukhya Mantri Krishi Ashirwad Yojana</t>
  </si>
  <si>
    <t xml:space="preserve">JH</t>
  </si>
  <si>
    <t xml:space="preserve">Jharkhand</t>
  </si>
  <si>
    <t xml:space="preserve">Raghubar Das (Chief Minister, Jharkhand, BJP)</t>
  </si>
  <si>
    <t xml:space="preserve">₹5,000 an acre a year on top of PM-KISAN</t>
  </si>
  <si>
    <t xml:space="preserve">26 lakh farmers by Oct 2019</t>
  </si>
  <si>
    <t xml:space="preserve">About ₹900 crore paid by Oct 2019</t>
  </si>
  <si>
    <t xml:space="preserve">Jharkhand Assembly 2019</t>
  </si>
  <si>
    <t xml:space="preserve">2019-11</t>
  </si>
  <si>
    <t xml:space="preserve">JMM–Congress–RJD won 47 of 81 seats; BJP 25</t>
  </si>
  <si>
    <t xml:space="preserve">First paid in August 2019, 112 days before polling; the BJP lost (JMM–Congress–RJD 47 of 81).</t>
  </si>
  <si>
    <t xml:space="preserve">hdb122</t>
  </si>
  <si>
    <t xml:space="preserve">https://occult-kranti.github.io/fact-duel/hisaab/#/q/hdb122</t>
  </si>
  <si>
    <t xml:space="preserve">Hindustan Times — Jharkhand’s 5.2 lakh farmers get first instalment of Centre’s Kisan income scheme (25 Feb 2019)</t>
  </si>
  <si>
    <t xml:space="preserve">https://www.hindustantimes.com/ranchi/jharkhand-s-5-2-lakh-farmers-get-first-instalment-of-centre-s-kisan-income-scheme/story-wMrzBDMWDr8FokdH7914dK.html</t>
  </si>
  <si>
    <t xml:space="preserve">tn-special-assistance-2019</t>
  </si>
  <si>
    <t xml:space="preserve">₹2,000 special assistance (Tamil Nadu)</t>
  </si>
  <si>
    <t xml:space="preserve">Edappadi K. Palaniswami (Chief Minister, Tamil Nadu, AIADMK)</t>
  </si>
  <si>
    <t xml:space="preserve">One-time ₹2,000 to BPL families, citing drought and Cyclone Gaja</t>
  </si>
  <si>
    <t xml:space="preserve">About 60 lakh families</t>
  </si>
  <si>
    <t xml:space="preserve">₹1,200 crore</t>
  </si>
  <si>
    <t xml:space="preserve">Lok Sabha 2019 (Tamil Nadu)</t>
  </si>
  <si>
    <t xml:space="preserve">DMK-led alliance won 38 of 39 seats (Vellore polled in Aug 2019); AIADMK-led alliance 1</t>
  </si>
  <si>
    <t xml:space="preserve">Announced 66 days before polling; the DMK-led alliance won 38 of 39 seats.</t>
  </si>
  <si>
    <t xml:space="preserve">hdb220</t>
  </si>
  <si>
    <t xml:space="preserve">https://occult-kranti.github.io/fact-duel/hisaab/#/q/hdb220</t>
  </si>
  <si>
    <t xml:space="preserve">The Indian Express — Tamil Nadu CM turns the tables on DMK over Rs 2,000 BPL dole (12 Feb 2019)</t>
  </si>
  <si>
    <t xml:space="preserve">https://indianexpress.com/article/cities/chennai/tamil-nadu-cm-assembly-k-palaniswami-dmk-bpl-dole-5580248/</t>
  </si>
  <si>
    <t xml:space="preserve">in-saubhagya</t>
  </si>
  <si>
    <t xml:space="preserve">2019-03</t>
  </si>
  <si>
    <t xml:space="preserve">Saubhagya household electrification</t>
  </si>
  <si>
    <t xml:space="preserve">Electricity connections for un-electrified households</t>
  </si>
  <si>
    <t xml:space="preserve">About 2.86 crore households</t>
  </si>
  <si>
    <t xml:space="preserve">States declared every ‘willing’ household electrified by March 2019; the scheme closed on 31 March 2022.</t>
  </si>
  <si>
    <t xml:space="preserve">hsc058</t>
  </si>
  <si>
    <t xml:space="preserve">https://occult-kranti.github.io/fact-duel/hisaab/#/q/hsc058</t>
  </si>
  <si>
    <t xml:space="preserve">PIB (Power Ministry) — Schemes to achieve uninterrupted power supply (28 Jul 2022)</t>
  </si>
  <si>
    <t xml:space="preserve">https://pib.gov.in/Pressreleaseshare.aspx?PRID=1845839</t>
  </si>
  <si>
    <t xml:space="preserve">od-cyclone-fani-central-2019</t>
  </si>
  <si>
    <t xml:space="preserve">Cyclone Fani: central aid</t>
  </si>
  <si>
    <t xml:space="preserve">₹341 crore released, then ₹1,000 crore more and ₹2 lakh per death; the EC lifted the code in 11 districts</t>
  </si>
  <si>
    <t xml:space="preserve">Odisha moved over a million people before landfall, which the PM credited for limiting deaths.</t>
  </si>
  <si>
    <t xml:space="preserve">hrf026</t>
  </si>
  <si>
    <t xml:space="preserve">https://occult-kranti.github.io/fact-duel/hisaab/#/q/hrf026</t>
  </si>
  <si>
    <t xml:space="preserve">Scroll — Cyclone Fani: EC lifts model code in 11 Odisha districts (1 May 2019)</t>
  </si>
  <si>
    <t xml:space="preserve">https://scroll.in/latest/921936/cyclone-fani-tourists-told-to-leave-puri-by-tomorrow-ec-lifts-model-code-in-11-odisha-districts</t>
  </si>
  <si>
    <t xml:space="preserve">od-cyclone-fani-state-2019</t>
  </si>
  <si>
    <t xml:space="preserve">2019-05</t>
  </si>
  <si>
    <t xml:space="preserve">Cyclone Fani: state relief package</t>
  </si>
  <si>
    <t xml:space="preserve">₹2,000, 50 kg rice and polythene sheets per family in the worst-hit areas; ₹95,100 per destroyed house</t>
  </si>
  <si>
    <t xml:space="preserve">About 1.08 crore people in 14,835 villages</t>
  </si>
  <si>
    <t xml:space="preserve">13.41 lakh people had been evacuated in 24 hours, officials said.</t>
  </si>
  <si>
    <t xml:space="preserve">hrf121</t>
  </si>
  <si>
    <t xml:space="preserve">https://occult-kranti.github.io/fact-duel/hisaab/#/q/hrf121</t>
  </si>
  <si>
    <t xml:space="preserve">The Times of India — Cyclone Fani toll jumps to 34, CM Naveen Patnaik announces relief package (5 May 2019)</t>
  </si>
  <si>
    <t xml:space="preserve">https://timesofindia.indiatimes.com/india/cyclone-fani-toll-jumps-to-34-in-odisha-cm-naveen-patnaik-announces-relief-package/articleshow/69190600.cms</t>
  </si>
  <si>
    <t xml:space="preserve">mh-mungantiwar-budget-2019</t>
  </si>
  <si>
    <t xml:space="preserve">2019-06</t>
  </si>
  <si>
    <t xml:space="preserve">Mungantiwar’s June 2019 budget</t>
  </si>
  <si>
    <t xml:space="preserve">Sudhir Mungantiwar (Finance Minister, Maharashtra, BJP)</t>
  </si>
  <si>
    <t xml:space="preserve">Farm focus, sops for women and disabled people, an employment programme for 10,000 small industries</t>
  </si>
  <si>
    <t xml:space="preserve">Revenue deficit of about ₹20,293 crore projected</t>
  </si>
  <si>
    <t xml:space="preserve">Maharashtra Assembly 2019</t>
  </si>
  <si>
    <t xml:space="preserve">BJP 105, Shiv Sena 56, NCP 54 of 288</t>
  </si>
  <si>
    <t xml:space="preserve">The BJP won 105 of 288, 17 fewer than in 2014; the Shiv Sena 56.</t>
  </si>
  <si>
    <t xml:space="preserve">hpe214</t>
  </si>
  <si>
    <t xml:space="preserve">https://occult-kranti.github.io/fact-duel/hisaab/#/q/hpe214</t>
  </si>
  <si>
    <t xml:space="preserve">PRS Legislative Research — Maharashtra Budget Analysis 2019-20</t>
  </si>
  <si>
    <t xml:space="preserve">https://prsindia.org/budgets/states/maharashtra-budget-analysis-2019-20</t>
  </si>
  <si>
    <t xml:space="preserve">dl-free-power-200-units-2019</t>
  </si>
  <si>
    <t xml:space="preserve">2019-08</t>
  </si>
  <si>
    <t xml:space="preserve">Free power up to 200 units (Delhi)</t>
  </si>
  <si>
    <t xml:space="preserve">Zero bills up to 200 units a month; about 50% subsidy for 201–400 units</t>
  </si>
  <si>
    <t xml:space="preserve">Delhi Assembly 2020</t>
  </si>
  <si>
    <t xml:space="preserve">2020-02</t>
  </si>
  <si>
    <t xml:space="preserve">AAP won 62 of 70 seats; BJP 8</t>
  </si>
  <si>
    <t xml:space="preserve">Announced 191 days before polling; the AAP won 62 of 70 seats on 8 February 2020.</t>
  </si>
  <si>
    <t xml:space="preserve">hdb121</t>
  </si>
  <si>
    <t xml:space="preserve">https://occult-kranti.github.io/fact-duel/hisaab/#/q/hdb121</t>
  </si>
  <si>
    <t xml:space="preserve">The Hindu — Free electricity for Delhiites using up to 200 units (2 Aug 2019)</t>
  </si>
  <si>
    <t xml:space="preserve">https://www.thehindu.com/news/national/other-states/free-electricity-for-delhiites-using-up-to-200-units/article28789468.ece</t>
  </si>
  <si>
    <t xml:space="preserve">mh-kolhapur-sangli-flood-package-2019</t>
  </si>
  <si>
    <t xml:space="preserve">Kolhapur–Sangli flood package</t>
  </si>
  <si>
    <t xml:space="preserve">Crop compensation at three times NDRF norms, small-farm loan waivers, house rebuilding aid</t>
  </si>
  <si>
    <t xml:space="preserve">BJP 105, Shiv Sena 56, NCP 54 of 288 seats</t>
  </si>
  <si>
    <t xml:space="preserve">Announced 63 days before polling; the BJP fell from 122 to 105 seats. No cited source ties the package to the result.</t>
  </si>
  <si>
    <t xml:space="preserve">hrf211</t>
  </si>
  <si>
    <t xml:space="preserve">https://occult-kranti.github.io/fact-duel/hisaab/#/q/hrf211</t>
  </si>
  <si>
    <t xml:space="preserve">Hindustan Times — Maharashtra government to waive farmers' loans, rebuild homes, relocate people (20 Aug 2019)</t>
  </si>
  <si>
    <t xml:space="preserve">https://www.hindustantimes.com/mumbai-news/state-to-waive-farmers-loans-rebuild-homes-relocate-people/story-QubHTVWqDOhoxAikdlJtOI.html</t>
  </si>
  <si>
    <t xml:space="preserve">in-corporate-tax-cut-2019</t>
  </si>
  <si>
    <t xml:space="preserve">2019-09</t>
  </si>
  <si>
    <t xml:space="preserve">Corporate tax cut to 22%</t>
  </si>
  <si>
    <t xml:space="preserve">Nirmala Sitharaman (Union Finance Minister, BJP)</t>
  </si>
  <si>
    <t xml:space="preserve">Optional 22% base rate for companies giving up exemptions; 15% for new manufacturers</t>
  </si>
  <si>
    <t xml:space="preserve">₹1.45 lakh crore a year in revenue forgone</t>
  </si>
  <si>
    <t xml:space="preserve">Maharashtra &amp; Haryana Assembly 2019</t>
  </si>
  <si>
    <t xml:space="preserve">Maharashtra: BJP 105, Shiv Sena 56, NCP 54 of 288</t>
  </si>
  <si>
    <t xml:space="preserve">Announced a day before the ECI set the Maharashtra and Haryana polls; the BJP–Shiv Sena won 161 of 288 in Maharashtra.</t>
  </si>
  <si>
    <t xml:space="preserve">hpe029; hbx027</t>
  </si>
  <si>
    <t xml:space="preserve">https://occult-kranti.github.io/fact-duel/hisaab/#/q/hpe029 https://occult-kranti.github.io/fact-duel/hisaab/#/q/hbx027</t>
  </si>
  <si>
    <t xml:space="preserve">The Indian Express — How parties fared in Haryana and Maharashtra polls in 2014 (21 Sep 2019)</t>
  </si>
  <si>
    <t xml:space="preserve">https://indianexpress.com/article/india/how-parties-fared-in-haryana-and-maharashtra-assembly-polls-in-2014-6015815/</t>
  </si>
  <si>
    <t xml:space="preserve">in-pm-kisan-maandhan-2019</t>
  </si>
  <si>
    <t xml:space="preserve">PM Kisan Maandhan</t>
  </si>
  <si>
    <t xml:space="preserve">₹3,000 a month pension from 60 for small farmers, contributions matched by the Centre</t>
  </si>
  <si>
    <t xml:space="preserve">24.96 lakh farmers enrolled by Feb 2026</t>
  </si>
  <si>
    <t xml:space="preserve">₹10,774 crore three-year outlay; ₹540.66 crore used</t>
  </si>
  <si>
    <t xml:space="preserve">Enrolment stayed far below the outlay: ₹540.66 crore utilised by February 2026 (PIB).</t>
  </si>
  <si>
    <t xml:space="preserve">hdb031</t>
  </si>
  <si>
    <t xml:space="preserve">https://occult-kranti.github.io/fact-duel/hisaab/#/q/hdb031</t>
  </si>
  <si>
    <t xml:space="preserve">The Times of India — PM launches 'Kisan Maan-dhan Yojana', pension scheme for traders &amp; self-employed (12 Sep 2019)</t>
  </si>
  <si>
    <t xml:space="preserve">https://timesofindia.indiatimes.com/business/india-business/pm-launches-kisan-maandhan-yojana-pension-scheme-for-traders-self-employed-things-to-know/articleshow/71095633.cms</t>
  </si>
  <si>
    <t xml:space="preserve">tg-crop-loan-waiver-2019</t>
  </si>
  <si>
    <t xml:space="preserve">Crop loan waiver (Telangana, 2019 budget)</t>
  </si>
  <si>
    <t xml:space="preserve">K. Chandrasekhar Rao (Chief Minister, Telangana (presented the budget), TRS (now BRS))</t>
  </si>
  <si>
    <t xml:space="preserve">A crop-loan waiver announced in the budget, delivering a TRS 2018 promise</t>
  </si>
  <si>
    <t xml:space="preserve">₹6,000 crore (2019-20)</t>
  </si>
  <si>
    <t xml:space="preserve">Payments paused for almost four years before a pre-poll release in 2023.</t>
  </si>
  <si>
    <t xml:space="preserve">hdb225; hpe139</t>
  </si>
  <si>
    <t xml:space="preserve">https://occult-kranti.github.io/fact-duel/hisaab/#/q/hdb225 https://occult-kranti.github.io/fact-duel/hisaab/#/q/hpe139</t>
  </si>
  <si>
    <t xml:space="preserve">PRS Legislative Research — Telangana Budget Analysis 2019-20</t>
  </si>
  <si>
    <t xml:space="preserve">https://prsindia.org/budgets/states/telangana-budget-analysis-2019-20</t>
  </si>
  <si>
    <t xml:space="preserve">ap-ysr-rythu-bharosa-2019</t>
  </si>
  <si>
    <t xml:space="preserve">YSR Rythu Bharosa</t>
  </si>
  <si>
    <t xml:space="preserve">₹13,500 a year per farmer family, counting PM-KISAN; tenant farmers included</t>
  </si>
  <si>
    <t xml:space="preserve">Nearly 54 lakh farmers</t>
  </si>
  <si>
    <t xml:space="preserve">₹8,750 crore (2019-20 budget, PRS)</t>
  </si>
  <si>
    <t xml:space="preserve">Replaced the TDP’s Annadata Sukhibhava; the government said it found 8 lakh more eligible farmers than the earlier survey.</t>
  </si>
  <si>
    <t xml:space="preserve">hdb222; hdb223</t>
  </si>
  <si>
    <t xml:space="preserve">https://occult-kranti.github.io/fact-duel/hisaab/#/q/hdb222 https://occult-kranti.github.io/fact-duel/hisaab/#/q/hdb223</t>
  </si>
  <si>
    <t xml:space="preserve">Times of India — CM launches Rythu Bharosa, calls it his 'token of gratitude' (16 Oct 2019)</t>
  </si>
  <si>
    <t xml:space="preserve">https://timesofindia.indiatimes.com/city/vijayawada/cm-launches-rythu-bharosa-calls-it-his-token-of-gratitude/articleshow/71604166.cms</t>
  </si>
  <si>
    <t xml:space="preserve">dl-pink-ticket-2019</t>
  </si>
  <si>
    <t xml:space="preserve">Free bus travel for women (pink ticket)</t>
  </si>
  <si>
    <t xml:space="preserve">Free rides for women on government-run buses with a pink single-journey ticket</t>
  </si>
  <si>
    <t xml:space="preserve">About 8.5 lakh regular women riders at launch</t>
  </si>
  <si>
    <t xml:space="preserve">Rolled out with 13,000 bus marshals, 102 days before polling; the AAP won 62 of 70 seats.</t>
  </si>
  <si>
    <t xml:space="preserve">hst104</t>
  </si>
  <si>
    <t xml:space="preserve">https://occult-kranti.github.io/fact-duel/hisaab/#/q/hst104</t>
  </si>
  <si>
    <t xml:space="preserve">Al Jazeera — Pink tickets as Delhi rolls out free bus travel for women (29 Oct 2019)</t>
  </si>
  <si>
    <t xml:space="preserve">https://www.aljazeera.com/news/2019/10/29/pink-tickets-as-delhi-rolls-out-free-bus-travel-for-women</t>
  </si>
  <si>
    <t xml:space="preserve">ka-floods-central-aid-2019</t>
  </si>
  <si>
    <t xml:space="preserve">Karnataka floods central aid</t>
  </si>
  <si>
    <t xml:space="preserve">₹1,200 crore released under SDRF and NDRF</t>
  </si>
  <si>
    <t xml:space="preserve">Against ₹35,160 crore of losses claimed; the Congress said the state was ‘humiliated’, the BJP called it a first instalment.</t>
  </si>
  <si>
    <t xml:space="preserve">hrf122</t>
  </si>
  <si>
    <t xml:space="preserve">https://occult-kranti.github.io/fact-duel/hisaab/#/q/hrf122</t>
  </si>
  <si>
    <t xml:space="preserve">Frontline — Protests in Karnataka over Centre's flood relief aid (25 Oct 2019)</t>
  </si>
  <si>
    <t xml:space="preserve">https://frontline.thehindu.com/the-nation/article29766585.ece</t>
  </si>
  <si>
    <t xml:space="preserve">mh-mahatma-phule-waiver-2019</t>
  </si>
  <si>
    <t xml:space="preserve">2019-12</t>
  </si>
  <si>
    <t xml:space="preserve">Mahatma Jyotirao Phule loan waiver</t>
  </si>
  <si>
    <t xml:space="preserve">Shiv Sena</t>
  </si>
  <si>
    <t xml:space="preserve">Uddhav Thackeray (Chief Minister, Maharashtra, Shiv Sena)</t>
  </si>
  <si>
    <t xml:space="preserve">Crop loans (2015–19) waived up to ₹2 lakh</t>
  </si>
  <si>
    <t xml:space="preserve">₹15,000 crore (2019-20) and ₹7,000 crore (2020-21) for waivers</t>
  </si>
  <si>
    <t xml:space="preserve">Fadnavis walked out saying a complete waiver had been promised.</t>
  </si>
  <si>
    <t xml:space="preserve">hdb226</t>
  </si>
  <si>
    <t xml:space="preserve">https://occult-kranti.github.io/fact-duel/hisaab/#/q/hdb226</t>
  </si>
  <si>
    <t xml:space="preserve">PRS Legislative Research — Maharashtra Budget Analysis 2020-21</t>
  </si>
  <si>
    <t xml:space="preserve">https://prsindia.org/budgets/states/maharashtra-budget-analysis-2020-21</t>
  </si>
  <si>
    <t xml:space="preserve">ct-godhan-nyay-2020</t>
  </si>
  <si>
    <t xml:space="preserve">2020</t>
  </si>
  <si>
    <t xml:space="preserve">Godhan Nyay Yojana</t>
  </si>
  <si>
    <t xml:space="preserve">State purchase of cow dung at ₹2 a kg, and from July 2022 cow urine at ₹4 a litre, for fertiliser and pesticide</t>
  </si>
  <si>
    <t xml:space="preserve">Urine purchase began at Hareli 2022 through gauthan committees and SHGs; the bank holds no spending figures.</t>
  </si>
  <si>
    <t xml:space="preserve">hst230</t>
  </si>
  <si>
    <t xml:space="preserve">https://occult-kranti.github.io/fact-duel/hisaab/#/q/hst230</t>
  </si>
  <si>
    <t xml:space="preserve">The Indian Express — Chhattisgarh: Baghel government starts buying cow urine at Rs 4 a litre (28 Jul 2022)</t>
  </si>
  <si>
    <t xml:space="preserve">https://indianexpress.com/article/india/chhattisgarh-baghel-government-buying-cow-urine-make-pesticide-fertiliser-8056924/</t>
  </si>
  <si>
    <t xml:space="preserve">ct-kisan-nyay-2020</t>
  </si>
  <si>
    <t xml:space="preserve">Rajiv Gandhi Kisan Nyay Yojana</t>
  </si>
  <si>
    <t xml:space="preserve">A bonus on paddy sold to the state</t>
  </si>
  <si>
    <t xml:space="preserve">₹5,100 crore (2020-21 budget, PRS)</t>
  </si>
  <si>
    <t xml:space="preserve">The Congress lost power in the November 2023 poll: the BJP won 54 of 90 seats, the Congress 35.</t>
  </si>
  <si>
    <t xml:space="preserve">hdb228</t>
  </si>
  <si>
    <t xml:space="preserve">https://occult-kranti.github.io/fact-duel/hisaab/#/q/hdb228</t>
  </si>
  <si>
    <t xml:space="preserve">PRS Legislative Research — Chhattisgarh Budget Analysis 2020-21</t>
  </si>
  <si>
    <t xml:space="preserve">https://prsindia.org/budgets/states/chhattisgarh-budget-analysis-2020-21</t>
  </si>
  <si>
    <t xml:space="preserve">hp-grihini-suvidha</t>
  </si>
  <si>
    <t xml:space="preserve">Grihini Suvidha Yojana (free LPG)</t>
  </si>
  <si>
    <t xml:space="preserve">Jai Ram Thakur (Chief Minister, Himachal Pradesh, BJP)</t>
  </si>
  <si>
    <t xml:space="preserve">Free LPG connections for homes left out of Ujjwala</t>
  </si>
  <si>
    <t xml:space="preserve">2,76,243 families by July 2020</t>
  </si>
  <si>
    <t xml:space="preserve">The government declared full household LPG coverage in July 2020 (its own claim); two more free cylinders followed in 2022.</t>
  </si>
  <si>
    <t xml:space="preserve">hdb123; hdb413</t>
  </si>
  <si>
    <t xml:space="preserve">https://occult-kranti.github.io/fact-duel/hisaab/#/q/hdb123 https://occult-kranti.github.io/fact-duel/hisaab/#/q/hdb413</t>
  </si>
  <si>
    <t xml:space="preserve">ET EnergyWorld — Himachal becomes first state where cent pc households have gas connection: CM (6 Jul 2020)</t>
  </si>
  <si>
    <t xml:space="preserve">https://energy.economictimes.indiatimes.com/news/oil-and-gas/himachal-becomes-first-state-where-cent-pc-households-have-gas-connection-cm/76815307</t>
  </si>
  <si>
    <t xml:space="preserve">mh-cm-covid-relief-fund-2020</t>
  </si>
  <si>
    <t xml:space="preserve">CM’s Covid-19 Relief Fund (Maharashtra)</t>
  </si>
  <si>
    <t xml:space="preserve">A donations fund for Covid relief; largest spend on migrant workers’ train fares</t>
  </si>
  <si>
    <t xml:space="preserve">₹799 crore held; ₹192 crore spent (Nov 2021)</t>
  </si>
  <si>
    <t xml:space="preserve">Only 24% had been used by November 2021, leaving ₹606.3 crore with no stated plan (RTI).</t>
  </si>
  <si>
    <t xml:space="preserve">hrf125</t>
  </si>
  <si>
    <t xml:space="preserve">https://occult-kranti.github.io/fact-duel/hisaab/#/q/hrf125</t>
  </si>
  <si>
    <t xml:space="preserve">The Times of India — Only 24% of Rs 799 crore in CM's Covid fund has been used: RTI (23 Nov 2021)</t>
  </si>
  <si>
    <t xml:space="preserve">https://timesofindia.indiatimes.com/city/mumbai/only-24-of-rs-799cr-in-cms-covid-fund-has-been-used-rti/articleshow/87857043.cms</t>
  </si>
  <si>
    <t xml:space="preserve">ap-amma-vodi-2020</t>
  </si>
  <si>
    <t xml:space="preserve">2020-01</t>
  </si>
  <si>
    <t xml:space="preserve">Jagananna Amma Vodi</t>
  </si>
  <si>
    <t xml:space="preserve">₹15,000 a year to mothers of school-going children, up to Intermediate</t>
  </si>
  <si>
    <t xml:space="preserve">42.12 lakh mothers, 81.72 lakh students (launch)</t>
  </si>
  <si>
    <t xml:space="preserve">₹6,318 crore released at launch; ₹6,456 crore budgeted 2019-20</t>
  </si>
  <si>
    <t xml:space="preserve">Attendance of 75% was waived in year one; the TDP-led government replaced it with Talliki Vandanam in 2025.</t>
  </si>
  <si>
    <t xml:space="preserve">hdb227; hdb223; hst258</t>
  </si>
  <si>
    <t xml:space="preserve">https://occult-kranti.github.io/fact-duel/hisaab/#/q/hdb227 https://occult-kranti.github.io/fact-duel/hisaab/#/q/hdb223 https://occult-kranti.github.io/fact-duel/hisaab/#/q/hst258</t>
  </si>
  <si>
    <t xml:space="preserve">The New Indian Express — Andhra CM launches 'Amma Vodi' scheme in Chittoor district (9 Jan 2020)</t>
  </si>
  <si>
    <t xml:space="preserve">https://www.newindianexpress.com/states/andhra-pradesh/2020/Jan/09/andhra-cm-launches-amma-vodi-scheme-in-chittoor-district-2087331.html</t>
  </si>
  <si>
    <t xml:space="preserve">mh-shiv-bhojan-2020</t>
  </si>
  <si>
    <t xml:space="preserve">Shiv Bhojan ₹10 thali</t>
  </si>
  <si>
    <t xml:space="preserve">A meal for ₹10, the state paying ₹40 of a ₹50 thali</t>
  </si>
  <si>
    <t xml:space="preserve">About 1,800 centres, two lakh people a day</t>
  </si>
  <si>
    <t xml:space="preserve">Left out of the 2025 budget, it got ₹21 crore before the BMC polls; operators said dues ran up to nine months late.</t>
  </si>
  <si>
    <t xml:space="preserve">hdb410</t>
  </si>
  <si>
    <t xml:space="preserve">https://occult-kranti.github.io/fact-duel/hisaab/#/q/hdb410</t>
  </si>
  <si>
    <t xml:space="preserve">The Indian Express — Double whammy: LPG crunch, unpaid dues push Pune’s Shiv Bhojan Thali centres to the brink (17 Mar 2026)</t>
  </si>
  <si>
    <t xml:space="preserve">https://indianexpress.com/article/pune/lpg-crunch-unpaid-dues-pune-shiv-bhojan-thali-centres-brink-10587369/</t>
  </si>
  <si>
    <t xml:space="preserve">in-pm-cares-2020</t>
  </si>
  <si>
    <t xml:space="preserve">2020-03</t>
  </si>
  <si>
    <t xml:space="preserve">PM CARES Fund</t>
  </si>
  <si>
    <t xml:space="preserve">Narendra Modi (Prime Minister; ex-officio Chairman of the PM CARES Fund, BJP)</t>
  </si>
  <si>
    <t xml:space="preserve">A public charitable trust for Covid and emergencies, funded by voluntary donations</t>
  </si>
  <si>
    <t xml:space="preserve">₹3,976 crore disbursed in 2020-21 (vaccines, ventilators, migrants, oxygen plants)</t>
  </si>
  <si>
    <t xml:space="preserve">Held ₹8,452.07 crore in March 2025. The SC declined to move its money to the NDRF; the trust says it is not a government fund.</t>
  </si>
  <si>
    <t xml:space="preserve">hbx035; hbx036; hbx037; hbx038; hbx039; hrf033; hrf034; hrf040</t>
  </si>
  <si>
    <t xml:space="preserve">https://occult-kranti.github.io/fact-duel/hisaab/#/q/hbx035 https://occult-kranti.github.io/fact-duel/hisaab/#/q/hbx036 https://occult-kranti.github.io/fact-duel/hisaab/#/q/hbx037 https://occult-kranti.github.io/fact-duel/hisaab/#/q/hbx038 https://occult-kranti.github.io/fact-duel/hisaab/#/q/hbx039 https://occult-kranti.github.io/fact-duel/hisaab/#/q/hrf033 https://occult-kranti.github.io/fact-duel/hisaab/#/q/hrf034 https://occult-kranti.github.io/fact-duel/hisaab/#/q/hrf040</t>
  </si>
  <si>
    <t xml:space="preserve">PM CARES Fund — Audited receipts and payments account, period ended 31 Mar 2020</t>
  </si>
  <si>
    <t xml:space="preserve">https://pmcares.gov.in/assets/donation/pdf/Audited%20Statement.PDF</t>
  </si>
  <si>
    <t xml:space="preserve">in-pmgkp-insurance-2020</t>
  </si>
  <si>
    <t xml:space="preserve">PMGKP insurance for health workers</t>
  </si>
  <si>
    <t xml:space="preserve">₹50 lakh Covid insurance cover for health workers</t>
  </si>
  <si>
    <t xml:space="preserve">About 22 lakh health workers covered</t>
  </si>
  <si>
    <t xml:space="preserve">About ₹1,272 crore paid (2,545 claims)</t>
  </si>
  <si>
    <t xml:space="preserve">2,545 claims had been paid by February 2025; the ministry keeps no profession-wise Covid death data.</t>
  </si>
  <si>
    <t xml:space="preserve">hrf028</t>
  </si>
  <si>
    <t xml:space="preserve">https://occult-kranti.github.io/fact-duel/hisaab/#/q/hrf028</t>
  </si>
  <si>
    <t xml:space="preserve">New Indian Express — Profession-wise COVID-19 death data not maintained centrally, Centre tells Lok Sabha (7 Feb 2025)</t>
  </si>
  <si>
    <t xml:space="preserve">https://www.newindianexpress.com/india/2025/Feb/07/profession-wise-covid-19-death-data-not-maintained-centrally-no-martyrs-status-centre-tells-lok-sabha</t>
  </si>
  <si>
    <t xml:space="preserve">in-pmgky-package-2020</t>
  </si>
  <si>
    <t xml:space="preserve">PM Garib Kalyan package: cash to women</t>
  </si>
  <si>
    <t xml:space="preserve">₹500 a month for three months to women Jan Dhan account holders</t>
  </si>
  <si>
    <t xml:space="preserve">20.65 crore women</t>
  </si>
  <si>
    <t xml:space="preserve">₹30,975 crore</t>
  </si>
  <si>
    <t xml:space="preserve">44% of recipients used their accounts after the first instalment; coverage ranged from over 95% (Karnataka) to 35.5% (Mizoram).</t>
  </si>
  <si>
    <t xml:space="preserve">hdb032</t>
  </si>
  <si>
    <t xml:space="preserve">https://occult-kranti.github.io/fact-duel/hisaab/#/q/hdb032</t>
  </si>
  <si>
    <t xml:space="preserve">Factly — Data: state-wise coverage of women PMJDY account holders under PMGKY (23 Sep 2021)</t>
  </si>
  <si>
    <t xml:space="preserve">https://factly.in/data-what-is-the-state-wise-coverage-of-women-pmjdy-account-holders-under-pmgky/</t>
  </si>
  <si>
    <t xml:space="preserve">in-mplads-suspension-2020</t>
  </si>
  <si>
    <t xml:space="preserve">2020-04</t>
  </si>
  <si>
    <t xml:space="preserve">MPLADS suspended for Covid</t>
  </si>
  <si>
    <t xml:space="preserve">Prakash Javadekar (Union Minister (announced the Cabinet decision, Apr 2020), BJP)</t>
  </si>
  <si>
    <t xml:space="preserve">Two years of MPs’ local-area funds redirected to the Consolidated Fund; 30% salary cut for MPs and ministers</t>
  </si>
  <si>
    <t xml:space="preserve">₹7,900 crore redirected</t>
  </si>
  <si>
    <t xml:space="preserve">A Congress MP welcomed the salary cut but called suspending MPLADS ‘a bit of an overstretch’.</t>
  </si>
  <si>
    <t xml:space="preserve">hbx050</t>
  </si>
  <si>
    <t xml:space="preserve">https://occult-kranti.github.io/fact-duel/hisaab/#/q/hbx050</t>
  </si>
  <si>
    <t xml:space="preserve">Business Standard (ANI) — PM, ministers, MPs to get 30% less salary; MPLAD funds suspended for 2 years (6 Apr 2020)</t>
  </si>
  <si>
    <t xml:space="preserve">https://www.business-standard.com/article/news-ani/pm-ministers-mps-to-get-30-pc-less-salary-mplad-funds-suspended-for-2-years-120040600896_1.html</t>
  </si>
  <si>
    <t xml:space="preserve">kl-free-food-kits-2020</t>
  </si>
  <si>
    <t xml:space="preserve">Free food kits (Kerala)</t>
  </si>
  <si>
    <t xml:space="preserve">A 17-item food kit for every ration-card holder, extended into 2021</t>
  </si>
  <si>
    <t xml:space="preserve">Over 87 lakh families</t>
  </si>
  <si>
    <t xml:space="preserve">Kerala Assembly 2021</t>
  </si>
  <si>
    <t xml:space="preserve">2021-04</t>
  </si>
  <si>
    <t xml:space="preserve">LDF re-elected with 99 of 140; UDF 41</t>
  </si>
  <si>
    <t xml:space="preserve">The LDF won 99 of 140 seats in April 2021, breaking a 40-year pattern of voting governments out.</t>
  </si>
  <si>
    <t xml:space="preserve">distribution; pre-election; relief</t>
  </si>
  <si>
    <t xml:space="preserve">hpe130</t>
  </si>
  <si>
    <t xml:space="preserve">https://occult-kranti.github.io/fact-duel/hisaab/#/q/hpe130</t>
  </si>
  <si>
    <t xml:space="preserve">The News Minute — Pinarayi government's pandemic food kits have struck a chord with people (20 Mar 2021)</t>
  </si>
  <si>
    <t xml:space="preserve">https://www.thenewsminute.com/kerala/pinarayi-government-s-pandemic-food-kits-have-struck-chord-people-145620</t>
  </si>
  <si>
    <t xml:space="preserve">tg-lockdown-cash-2020</t>
  </si>
  <si>
    <t xml:space="preserve">Lockdown cash per white ration card (Telangana)</t>
  </si>
  <si>
    <t xml:space="preserve">₹1,500 per white ration card plus 12 kg of free rice</t>
  </si>
  <si>
    <t xml:space="preserve">About 76 lakh accounts</t>
  </si>
  <si>
    <t xml:space="preserve">₹1,112 crore credited; ₹2,000 crore programme</t>
  </si>
  <si>
    <t xml:space="preserve">Over 87% of the free rice, more than three lakh tonnes, reached over 76 lakh card holders.</t>
  </si>
  <si>
    <t xml:space="preserve">hrf213</t>
  </si>
  <si>
    <t xml:space="preserve">https://occult-kranti.github.io/fact-duel/hisaab/#/q/hrf213</t>
  </si>
  <si>
    <t xml:space="preserve">The Times of India — Telangana: 76 lakh ration card holders get Rs 1,500 each (15 Apr 2020)</t>
  </si>
  <si>
    <t xml:space="preserve">https://timesofindia.indiatimes.com/city/hyderabad/76-lakh-ration-card-holders-get-rs-1-5k-each/articleshow/75149411.cms</t>
  </si>
  <si>
    <t xml:space="preserve">up-covid-maintenance-allowance-2020</t>
  </si>
  <si>
    <t xml:space="preserve">Covid maintenance allowance ₹1,000 (UP)</t>
  </si>
  <si>
    <t xml:space="preserve">₹1,000 by DBT to labourers and daily wagers; a month’s free ration</t>
  </si>
  <si>
    <t xml:space="preserve">35 lakh labourers, 11 lakh construction workers, 5 lakh urban wagers</t>
  </si>
  <si>
    <t xml:space="preserve">In the second wave, June 2021, the state sent ₹1,000 each to 23 lakh daily wagers (₹230 crore).</t>
  </si>
  <si>
    <t xml:space="preserve">hrf212</t>
  </si>
  <si>
    <t xml:space="preserve">https://occult-kranti.github.io/fact-duel/hisaab/#/q/hrf212</t>
  </si>
  <si>
    <t xml:space="preserve">The New Indian Express — CM Yogi releases Rs 48.2 crore as maintenance allowance for five lakh labourers (10 Apr 2020)</t>
  </si>
  <si>
    <t xml:space="preserve">https://www.newindianexpress.com/india/2020/Apr/10/covid-19-lockdown-cm-yogi-releases-rs-482-crore-as-maintenance-allowance-for-five-lakh-labourers-2128406.html</t>
  </si>
  <si>
    <t xml:space="preserve">in-atmanirbhar-2020</t>
  </si>
  <si>
    <t xml:space="preserve">2020-05</t>
  </si>
  <si>
    <t xml:space="preserve">Atmanirbhar Bharat package</t>
  </si>
  <si>
    <t xml:space="preserve">Narendra Modi (Prime Minister, BJP); Nirmala Sitharaman (Union Finance Minister, BJP)</t>
  </si>
  <si>
    <t xml:space="preserve">Headline ₹20.97 lakh crore package, including RBI liquidity and the earlier Garib Kalyan package</t>
  </si>
  <si>
    <t xml:space="preserve">New spending near 1% of GDP by most calculations</t>
  </si>
  <si>
    <t xml:space="preserve">RBI measures alone were 38% of the headline figure, by the Finance Ministry’s own breakdown.</t>
  </si>
  <si>
    <t xml:space="preserve">hrf029</t>
  </si>
  <si>
    <t xml:space="preserve">https://occult-kranti.github.io/fact-duel/hisaab/#/q/hrf029</t>
  </si>
  <si>
    <t xml:space="preserve">Indian Express — ExplainSpeaking: Why the Atmanirbhar Bharat Abhiyan economic package is being criticised (18 May 2020)</t>
  </si>
  <si>
    <t xml:space="preserve">https://indianexpress.com/article/explained/explainspeaking-why-the-atmanirbhar-bharat-abhiyan-economic-package-is-being-criticised-6414905/</t>
  </si>
  <si>
    <t xml:space="preserve">wb-cyclone-amphan-central-2020</t>
  </si>
  <si>
    <t xml:space="preserve">Cyclone Amphan: NDRF award</t>
  </si>
  <si>
    <t xml:space="preserve">₹1,000 crore advance, then ₹2,707.7 crore cleared subject to the SDRF balance</t>
  </si>
  <si>
    <t xml:space="preserve">The MHA released ₹2,250.28 crore after adjusting half the state’s SDRF balance; the state had sought ₹35,018 crore.</t>
  </si>
  <si>
    <t xml:space="preserve">hrf030</t>
  </si>
  <si>
    <t xml:space="preserve">https://occult-kranti.github.io/fact-duel/hisaab/#/q/hrf030</t>
  </si>
  <si>
    <t xml:space="preserve">Times of India — Bengal inflated Amphan relief claim by ₹32,000 cr, says CAG report (25 Jul 2026)</t>
  </si>
  <si>
    <t xml:space="preserve">https://timesofindia.indiatimes.com/city/kolkata/bengal-inflated-amphan-relief-claim-by-32000-cr-says-cag-report/articleshow/132629782.cms</t>
  </si>
  <si>
    <t xml:space="preserve">wb-cyclone-amphan-relief-2020</t>
  </si>
  <si>
    <t xml:space="preserve">Cyclone Amphan: state relief grants</t>
  </si>
  <si>
    <t xml:space="preserve">House-building and relief grants to affected families</t>
  </si>
  <si>
    <t xml:space="preserve">19.38 lakh beneficiaries checked in six districts (CAG)</t>
  </si>
  <si>
    <t xml:space="preserve">CAG (2026): 9,226 people paid up to nine times and claims inflated by nearly ₹32,000 crore; the TMC questioned the report’s neutrality.</t>
  </si>
  <si>
    <t xml:space="preserve">hrf123</t>
  </si>
  <si>
    <t xml:space="preserve">https://occult-kranti.github.io/fact-duel/hisaab/#/q/hrf123</t>
  </si>
  <si>
    <t xml:space="preserve">The Indian Express — 'Same photos, many claims': the CAG's Amphan relief audit (31 Jul 2026)</t>
  </si>
  <si>
    <t xml:space="preserve">https://indianexpress.com/article/political-pulse/cag-flags-cyclone-amphan-2020-relief-irregularities-tmc-west-bengal-10811195/</t>
  </si>
  <si>
    <t xml:space="preserve">in-pmgkay-extension-2020</t>
  </si>
  <si>
    <t xml:space="preserve">2020-06</t>
  </si>
  <si>
    <t xml:space="preserve">Free grain extended to November 2020</t>
  </si>
  <si>
    <t xml:space="preserve">5 kg of grain and 1 kg of pulses free a month for five more months</t>
  </si>
  <si>
    <t xml:space="preserve">80 crore people</t>
  </si>
  <si>
    <t xml:space="preserve">Over ₹90,000 crore extra</t>
  </si>
  <si>
    <t xml:space="preserve">Bihar Assembly 2020</t>
  </si>
  <si>
    <t xml:space="preserve">2020-10</t>
  </si>
  <si>
    <t xml:space="preserve">NDA won 125 of 243 seats; Mahagathbandhan 110</t>
  </si>
  <si>
    <t xml:space="preserve">Bihar voted 120 days later; the NDA kept Bihar with 125 of 243 seats.</t>
  </si>
  <si>
    <t xml:space="preserve">hpe030</t>
  </si>
  <si>
    <t xml:space="preserve">https://occult-kranti.github.io/fact-duel/hisaab/#/q/hpe030</t>
  </si>
  <si>
    <t xml:space="preserve">Times of India — PM Modi announces extension of free ration scheme (30 Jun 2020)</t>
  </si>
  <si>
    <t xml:space="preserve">https://timesofindia.indiatimes.com/business/india-business/pm-modi-announces-extension-of-free-ration-scheme-says-govt-working-on-one-nation-one-ration-card/articleshow/76710523.cms</t>
  </si>
  <si>
    <t xml:space="preserve">pb-smart-connect-2020</t>
  </si>
  <si>
    <t xml:space="preserve">2020-08</t>
  </si>
  <si>
    <t xml:space="preserve">Punjab Smart Connect phones</t>
  </si>
  <si>
    <t xml:space="preserve">Free smartphones for Class 12 government-school students, a 2017 promise</t>
  </si>
  <si>
    <t xml:space="preserve">1,74,015 students in phase one</t>
  </si>
  <si>
    <t xml:space="preserve">₹92 crore</t>
  </si>
  <si>
    <t xml:space="preserve">Punjab Assembly 2022</t>
  </si>
  <si>
    <t xml:space="preserve">2022-02</t>
  </si>
  <si>
    <t xml:space="preserve">AAP won 92 of 117; Congress 18</t>
  </si>
  <si>
    <t xml:space="preserve">The AAP won the February 2022 poll with 92 of 117 seats; the Congress fell to 18.</t>
  </si>
  <si>
    <t xml:space="preserve">hpe128</t>
  </si>
  <si>
    <t xml:space="preserve">https://occult-kranti.github.io/fact-duel/hisaab/#/q/hpe128</t>
  </si>
  <si>
    <t xml:space="preserve">The New Indian Express — Amarinder launches 'Punjab Smart Connect', 174015 Class XII students to benefit in Phase 1 (12 Aug 2020)</t>
  </si>
  <si>
    <t xml:space="preserve">https://www.newindianexpress.com/india/2020/Aug/12/amarinder-launches-punjab-smart-connect-174015-class-xii-students-to-benefit-in-phase-1-2182526.html</t>
  </si>
  <si>
    <t xml:space="preserve">as-arundhati-gold-2020</t>
  </si>
  <si>
    <t xml:space="preserve">2020-09</t>
  </si>
  <si>
    <t xml:space="preserve">Arundhati gold scheme</t>
  </si>
  <si>
    <t xml:space="preserve">Sarbananda Sonowal (Chief Minister, Assam, BJP); Himanta Biswa Sarma (Finance Minister, Assam, BJP)</t>
  </si>
  <si>
    <t xml:space="preserve">₹40,000 per newly-wed couple to buy 10 g of gold for the bride (approved at ₹30,000 in 2019)</t>
  </si>
  <si>
    <t xml:space="preserve">587 of the first 1,121 applicant couples found eligible</t>
  </si>
  <si>
    <t xml:space="preserve">Assam Assembly 2021</t>
  </si>
  <si>
    <t xml:space="preserve">2021-03</t>
  </si>
  <si>
    <t xml:space="preserve">BJP-led NDA won 75 of 126 seats</t>
  </si>
  <si>
    <t xml:space="preserve">Payouts began six months before the 2021 poll, in which the BJP-led NDA kept power with 75 of 126 seats.</t>
  </si>
  <si>
    <t xml:space="preserve">hdb320</t>
  </si>
  <si>
    <t xml:space="preserve">https://occult-kranti.github.io/fact-duel/hisaab/#/q/hdb320</t>
  </si>
  <si>
    <t xml:space="preserve">India Today — Assam: Eligible newlyweds to get Rs 40,000 as aid under 'Arundhati Gold Scheme' (24 Sep 2020)</t>
  </si>
  <si>
    <t xml:space="preserve">https://www.indiatoday.in/india/story/assam-eligible-newlyweds-to-get-rs-40-000-as-aid-under-arundhati-gold-scheme-1725083-2020-09-24</t>
  </si>
  <si>
    <t xml:space="preserve">as-orunodoi-2020</t>
  </si>
  <si>
    <t xml:space="preserve">Orunodoi</t>
  </si>
  <si>
    <t xml:space="preserve">Himanta Biswa Sarma (Finance Minister, Assam, BJP); Sarbananda Sonowal (Chief Minister, Assam, BJP)</t>
  </si>
  <si>
    <t xml:space="preserve">Monthly cash to women heads of poor households: ₹830, then ₹1,000 (2021) and ₹1,250 (2022)</t>
  </si>
  <si>
    <t xml:space="preserve">17 lakh (2020-21) to 24 lakh (2024-25); about 40 lakh by 2026</t>
  </si>
  <si>
    <t xml:space="preserve">₹3,680 crore (2024-25); ₹6,000 crore (2025-26 revised)</t>
  </si>
  <si>
    <t xml:space="preserve">The NDA kept Assam in 2021 (75 of 126); a February 2021 pledge of ₹3,000 a month had not been met by 2026.</t>
  </si>
  <si>
    <t xml:space="preserve">hst320; hdb321</t>
  </si>
  <si>
    <t xml:space="preserve">https://occult-kranti.github.io/fact-duel/hisaab/#/q/hst320 https://occult-kranti.github.io/fact-duel/hisaab/#/q/hdb321</t>
  </si>
  <si>
    <t xml:space="preserve">PRS Legislative Research — Assam Budget Analysis 2026-27 (2026)</t>
  </si>
  <si>
    <t xml:space="preserve">https://prsindia.org/budgets/states/assam-budget-analysis-2026-27</t>
  </si>
  <si>
    <t xml:space="preserve">tg-hyderabad-flood-relief-2020</t>
  </si>
  <si>
    <t xml:space="preserve">Hyderabad flood relief ₹10,000</t>
  </si>
  <si>
    <t xml:space="preserve">₹10,000 to each flood-hit family</t>
  </si>
  <si>
    <t xml:space="preserve">6.64 lakh families</t>
  </si>
  <si>
    <t xml:space="preserve">₹664 crore by 18 Nov 2020</t>
  </si>
  <si>
    <t xml:space="preserve">GHMC (Hyderabad) civic poll 2020</t>
  </si>
  <si>
    <t xml:space="preserve">2020-12</t>
  </si>
  <si>
    <t xml:space="preserve">TRS 56 of 150 wards, BJP 48, AIMIM 44, Congress 2</t>
  </si>
  <si>
    <t xml:space="preserve">The SEC paused payments under the civic-poll code; the TRS won 56 of 150 wards, the BJP 48.</t>
  </si>
  <si>
    <t xml:space="preserve">hrf124</t>
  </si>
  <si>
    <t xml:space="preserve">https://occult-kranti.github.io/fact-duel/hisaab/#/q/hrf124</t>
  </si>
  <si>
    <t xml:space="preserve">The Hindu — EC slams brakes on flood relief grant (18 Nov 2020)</t>
  </si>
  <si>
    <t xml:space="preserve">https://www.thehindu.com/news/cities/Hyderabad/ec-slams-brakes-on-flood-relief-grant/article33127742.ece</t>
  </si>
  <si>
    <t xml:space="preserve">tn-pongal-cash-2021</t>
  </si>
  <si>
    <t xml:space="preserve">Pongal cash ₹2,500</t>
  </si>
  <si>
    <t xml:space="preserve">₹2,500 cash plus a Pongal kit per ration-card family</t>
  </si>
  <si>
    <t xml:space="preserve">2.6 crore families</t>
  </si>
  <si>
    <t xml:space="preserve">Tamil Nadu Assembly 2021</t>
  </si>
  <si>
    <t xml:space="preserve">DMK won 133 of 234 seats and formed the government; AIADMK 66</t>
  </si>
  <si>
    <t xml:space="preserve">Announced 92 days before polling; the DMK won 133 of 234 and the AIADMK 66.</t>
  </si>
  <si>
    <t xml:space="preserve">hdb229</t>
  </si>
  <si>
    <t xml:space="preserve">https://occult-kranti.github.io/fact-duel/hisaab/#/q/hdb229</t>
  </si>
  <si>
    <t xml:space="preserve">The New Indian Express — TN Chief Minister announces Rs 2,500 cash, Pongal gift kit (20 Dec 2020)</t>
  </si>
  <si>
    <t xml:space="preserve">https://www.newindianexpress.com/states/tamil-nadu/2020/Dec/20/tn-chiefministerannounces-rs-2500cashpongal-gift-kit--2238645.html</t>
  </si>
  <si>
    <t xml:space="preserve">wb-duare-sarkar-2020</t>
  </si>
  <si>
    <t xml:space="preserve">Duare Sarkar camps</t>
  </si>
  <si>
    <t xml:space="preserve">Doorstep camps to sign up for at least 11 state welfare schemes</t>
  </si>
  <si>
    <t xml:space="preserve">Over 1 crore visitors in two weeks; 64 lakh enrolled</t>
  </si>
  <si>
    <t xml:space="preserve">West Bengal Assembly 2021</t>
  </si>
  <si>
    <t xml:space="preserve">TMC won 213 of 292 seats polled; BJP 77</t>
  </si>
  <si>
    <t xml:space="preserve">Polling began 116 days later; the TMC won 213 of 292. No study cited ties the result to the camps.</t>
  </si>
  <si>
    <t xml:space="preserve">hdb305</t>
  </si>
  <si>
    <t xml:space="preserve">https://occult-kranti.github.io/fact-duel/hisaab/#/q/hdb305</t>
  </si>
  <si>
    <t xml:space="preserve">Mint — Bengal's 'Duare Sarkar' reached over 1 crore people in 2 weeks: CM Mamata (19 Dec 2020)</t>
  </si>
  <si>
    <t xml:space="preserve">https://www.livemint.com/news/india/bengal-s-duare-sarkar-reached-over-1-crore-people-in-2-weeks-cm-mamata-11608367316616.html</t>
  </si>
  <si>
    <t xml:space="preserve">ct-mahtari-dular-2021</t>
  </si>
  <si>
    <t xml:space="preserve">2021</t>
  </si>
  <si>
    <t xml:space="preserve">Mahtari Dular Yojana for Covid orphans</t>
  </si>
  <si>
    <t xml:space="preserve">₹500–₹1,000 a month and free schooling for children who lost an earning parent to Covid</t>
  </si>
  <si>
    <t xml:space="preserve">Extended in June 2021 to private-school pupils, whose fees the state would pay; the bank holds no reach figures.</t>
  </si>
  <si>
    <t xml:space="preserve">hrf218</t>
  </si>
  <si>
    <t xml:space="preserve">https://occult-kranti.github.io/fact-duel/hisaab/#/q/hrf218</t>
  </si>
  <si>
    <t xml:space="preserve">The Times of India — Chhattisgarh govt to pay school fees of Covid orphaned children (14 Jun 2021)</t>
  </si>
  <si>
    <t xml:space="preserve">https://timesofindia.indiatimes.com/education/news/chhattisgarh-govt-to-pay-school-fees-of-covid-orphaned-children/articleshow/83512179.cms</t>
  </si>
  <si>
    <t xml:space="preserve">in-15th-fc-mitigation-2021</t>
  </si>
  <si>
    <t xml:space="preserve">Disaster risk funds split 80:20 (15th Finance Commission)</t>
  </si>
  <si>
    <t xml:space="preserve">State and national disaster funds split between response (80%) and a new mitigation fund (20%)</t>
  </si>
  <si>
    <t xml:space="preserve">₹1,60,153 crore to state funds; ₹68,463 crore national (2021–26)</t>
  </si>
  <si>
    <t xml:space="preserve">SDRF releases ran at 95–100% of allocations, but releases to state mitigation funds only about 80% (16th FC review).</t>
  </si>
  <si>
    <t xml:space="preserve">hrf215</t>
  </si>
  <si>
    <t xml:space="preserve">https://occult-kranti.github.io/fact-duel/hisaab/#/q/hrf215</t>
  </si>
  <si>
    <t xml:space="preserve">Rajya Sabha Standing Committee on Home Affairs — 261st Report, Disaster Management, paras 2.13.6–2.13.20 (7 Aug 2026)</t>
  </si>
  <si>
    <t xml:space="preserve">mp-sheopur-flood-compensation-2021</t>
  </si>
  <si>
    <t xml:space="preserve">Flood compensation (Sheopur, 2021)</t>
  </si>
  <si>
    <t xml:space="preserve">Flood compensation meant for 794 residents of Baroda tehsil</t>
  </si>
  <si>
    <t xml:space="preserve">Police allege a ₹2–2.5 crore fraud; an audit found at least 127 fake or unrelated accounts. A former tehsildar, arrested in March 2026, denies it.</t>
  </si>
  <si>
    <t xml:space="preserve">hrf134</t>
  </si>
  <si>
    <t xml:space="preserve">https://occult-kranti.github.io/fact-duel/hisaab/#/q/hrf134</t>
  </si>
  <si>
    <t xml:space="preserve">The Indian Express — From KBC fame to 'corruption' arrest, tehsildar lands in jail (27 Mar 2026)</t>
  </si>
  <si>
    <t xml:space="preserve">https://indianexpress.com/article/india/from-kbc-fame-to-corruption-arrest-tehsildar-who-sat-opposite-amitabh-bachchan-in-2019-lands-in-jail-10603907/</t>
  </si>
  <si>
    <t xml:space="preserve">br-kanya-utthan-2021</t>
  </si>
  <si>
    <t xml:space="preserve">2021-02</t>
  </si>
  <si>
    <t xml:space="preserve">Mukhyamantri Kanya Utthan Yojana (grant hike)</t>
  </si>
  <si>
    <t xml:space="preserve">Graduation grant raised from ₹25,000 to ₹50,000; Class 12 grant from ₹10,000 to ₹25,000</t>
  </si>
  <si>
    <t xml:space="preserve">Potential reach 1.6 crore girls (India Today)</t>
  </si>
  <si>
    <t xml:space="preserve">Higher grants apply from 2021-22; the bank holds no disbursement figures yet.</t>
  </si>
  <si>
    <t xml:space="preserve">hdb125</t>
  </si>
  <si>
    <t xml:space="preserve">https://occult-kranti.github.io/fact-duel/hisaab/#/q/hdb125</t>
  </si>
  <si>
    <t xml:space="preserve">India Today — Bihar govt to give Rs 50,000 to graduate girls, Rs 25,000 to those who passed class 12 (3 Feb 2021)</t>
  </si>
  <si>
    <t xml:space="preserve">https://www.indiatoday.in/education-today/news/story/bihar-govt-to-give-rs-50-000-to-graduate-girls-rs-25-000-to-those-who-passed-class-12-1765555-2021-02-03</t>
  </si>
  <si>
    <t xml:space="preserve">tn-budget-2021-highways</t>
  </si>
  <si>
    <t xml:space="preserve">Budget 2021-22: highways for poll-bound states</t>
  </si>
  <si>
    <t xml:space="preserve">3,500 km of highways in Tamil Nadu (₹1.03 lakh crore), plus Kerala, West Bengal and Assam works</t>
  </si>
  <si>
    <t xml:space="preserve">Assembly polls in 4 states and Puducherry, 2021</t>
  </si>
  <si>
    <t xml:space="preserve">TMC kept West Bengal, BJP Assam, LDF Kerala; DMK-led alliance won Tamil Nadu</t>
  </si>
  <si>
    <t xml:space="preserve">The BJP kept Assam; the TMC, the LDF and the DMK-led alliance won the other three states.</t>
  </si>
  <si>
    <t xml:space="preserve">hpe031</t>
  </si>
  <si>
    <t xml:space="preserve">https://occult-kranti.github.io/fact-duel/hisaab/#/q/hpe031</t>
  </si>
  <si>
    <t xml:space="preserve">indiabudget.gov.in — Budget Speech 2021-22, Nirmala Sitharaman (1 Feb 2021)</t>
  </si>
  <si>
    <t xml:space="preserve">https://www.indiabudget.gov.in/budget2021-22/doc/Budget_Speech.pdf</t>
  </si>
  <si>
    <t xml:space="preserve">tn-crop-loan-waiver-2021</t>
  </si>
  <si>
    <t xml:space="preserve">Crop loan waiver (Tamil Nadu, 2021)</t>
  </si>
  <si>
    <t xml:space="preserve">Co-operative crop loans waived</t>
  </si>
  <si>
    <t xml:space="preserve">16.43 lakh farmers</t>
  </si>
  <si>
    <t xml:space="preserve">₹12,110 crore</t>
  </si>
  <si>
    <t xml:space="preserve">DMK-led alliance won 159 of 234; DMK alone 133</t>
  </si>
  <si>
    <t xml:space="preserve">Announced 60 days before polling; the DMK-led alliance won 159 of 234.</t>
  </si>
  <si>
    <t xml:space="preserve">hpe131</t>
  </si>
  <si>
    <t xml:space="preserve">https://occult-kranti.github.io/fact-duel/hisaab/#/q/hpe131</t>
  </si>
  <si>
    <t xml:space="preserve">The Hindu — TN CM announces ₹12,110 crore crop loan waiver (5 Feb 2021)</t>
  </si>
  <si>
    <t xml:space="preserve">https://www.thehindu.com/news/national/tamil-nadu/tn-cm-announces-12110-crore-crop-loan-waiver/article33759653.ece</t>
  </si>
  <si>
    <t xml:space="preserve">dl-covid-family-aid-2021</t>
  </si>
  <si>
    <t xml:space="preserve">2021-05</t>
  </si>
  <si>
    <t xml:space="preserve">Covid-19 family aid scheme (Delhi)</t>
  </si>
  <si>
    <t xml:space="preserve">₹50,000 per Covid death, plus ₹2,500 a month where the breadwinner died</t>
  </si>
  <si>
    <t xml:space="preserve">21,235 of 25,100 applicants paid ₹50,000 by Dec 2021; 7,955 on the monthly aid</t>
  </si>
  <si>
    <t xml:space="preserve">The Supreme Court’s national ₹50,000 ex gratia (Oct 2021) came over and above state schemes like this one.</t>
  </si>
  <si>
    <t xml:space="preserve">hrf126</t>
  </si>
  <si>
    <t xml:space="preserve">https://occult-kranti.github.io/fact-duel/hisaab/#/q/hrf126</t>
  </si>
  <si>
    <t xml:space="preserve">Mint — ₹50K ex-gratia, monthly pension: Delhi govt notifies scheme for Covid victims' kin (23 Jun 2021)</t>
  </si>
  <si>
    <t xml:space="preserve">https://www.livemint.com/news/india/rs-50k-ex-gratia-monthly-pension-delhi-govt-notifies-scheme-for-covid-victims-kin-11624405671692.html</t>
  </si>
  <si>
    <t xml:space="preserve">in-cyclones-tauktae-yaas-2021</t>
  </si>
  <si>
    <t xml:space="preserve">Cyclones Tauktae and Yaas: PM’s aid</t>
  </si>
  <si>
    <t xml:space="preserve">₹1,000 crore for Gujarat after Tauktae; ₹1,000 crore after Yaas (₹500 crore to Odisha at once)</t>
  </si>
  <si>
    <t xml:space="preserve">Both added ₹2 lakh ex gratia per death; Bengal sought ₹20,000 crore and a Maharashtra minister called the Gujarat-only survey discrimination.</t>
  </si>
  <si>
    <t xml:space="preserve">hrf216</t>
  </si>
  <si>
    <t xml:space="preserve">https://occult-kranti.github.io/fact-duel/hisaab/#/q/hrf216</t>
  </si>
  <si>
    <t xml:space="preserve">Rediff (PTI) — PM announces Rs 1,000 cr for cyclone relief in Odisha, Bengal, Jharkhand (28 May 2021)</t>
  </si>
  <si>
    <t xml:space="preserve">https://www.rediff.com/news/report/pm-modi-reviews-cyclone-yaas-damages-in-odisha/20210528.htm</t>
  </si>
  <si>
    <t xml:space="preserve">in-pm-cares-for-children-2021</t>
  </si>
  <si>
    <t xml:space="preserve">PM CARES for Children</t>
  </si>
  <si>
    <t xml:space="preserve">Narendra Modi (Prime Minister (chairs PM CARES), BJP)</t>
  </si>
  <si>
    <t xml:space="preserve">₹10 lakh at age 23 for children orphaned by Covid</t>
  </si>
  <si>
    <t xml:space="preserve">4,532 of 9,331 applications approved by July 2024</t>
  </si>
  <si>
    <t xml:space="preserve">4,781 applications were rejected with no specific reason given; the fund spent ₹15.37 crore on it in 2023-24.</t>
  </si>
  <si>
    <t xml:space="preserve">hrf217</t>
  </si>
  <si>
    <t xml:space="preserve">https://occult-kranti.github.io/fact-duel/hisaab/#/q/hrf217</t>
  </si>
  <si>
    <t xml:space="preserve">The Hindu (PTI) — Over half of PM CARES for Children scheme applications for COVID orphans rejected (16 Jul 2024)</t>
  </si>
  <si>
    <t xml:space="preserve">https://www.thehindu.com/news/national/over-half-of-pm-cares-for-children-scheme-applications-for-covid-orphans-rejected/article68409285.ece</t>
  </si>
  <si>
    <t xml:space="preserve">tn-covid-relief-4000-2021</t>
  </si>
  <si>
    <t xml:space="preserve">Covid relief ₹4,000 per rice card</t>
  </si>
  <si>
    <t xml:space="preserve">M.K. Stalin (Chief Minister, Tamil Nadu, DMK)</t>
  </si>
  <si>
    <t xml:space="preserve">₹4,000 per rice ration card in two parts, plus a 14-item grocery kit</t>
  </si>
  <si>
    <t xml:space="preserve">2.09 crore card holders</t>
  </si>
  <si>
    <t xml:space="preserve">₹8,392.76 crore; kits ₹844.51 crore</t>
  </si>
  <si>
    <t xml:space="preserve">A DMK pre-poll promise, paid from its first orders after winning the April 2021 poll.</t>
  </si>
  <si>
    <t xml:space="preserve">hrf214</t>
  </si>
  <si>
    <t xml:space="preserve">https://occult-kranti.github.io/fact-duel/hisaab/#/q/hrf214</t>
  </si>
  <si>
    <t xml:space="preserve">Livemint — Stalin's 1st orders as Tamil Nadu CM: ₹2,000 Covid time relief (7 May 2021)</t>
  </si>
  <si>
    <t xml:space="preserve">https://www.livemint.com/news/india/mk-stalin-s-first-orders-as-tamil-nadu-cm-rs-2-000-covid-time-relief-govt-to-bear-covid-treatment-cost-in-private-hospitals-11620377935898.html</t>
  </si>
  <si>
    <t xml:space="preserve">tn-vidiyal-payanam-2021</t>
  </si>
  <si>
    <t xml:space="preserve">Vidiyal Payanam free bus travel</t>
  </si>
  <si>
    <t xml:space="preserve">Free rides for women on ordinary government buses</t>
  </si>
  <si>
    <t xml:space="preserve">570.86 crore trips by Oct 2024; 57.07 lakh women a day</t>
  </si>
  <si>
    <t xml:space="preserve">₹4,000 crore (2026 interim budget)</t>
  </si>
  <si>
    <t xml:space="preserve">The TVK government kept it but dropped ‘Vidiyal’ from the name in July 2026.</t>
  </si>
  <si>
    <t xml:space="preserve">hdb411</t>
  </si>
  <si>
    <t xml:space="preserve">https://occult-kranti.github.io/fact-duel/hisaab/#/q/hdb411</t>
  </si>
  <si>
    <t xml:space="preserve">The New Indian Express — ‘57 lakh women benefit from Magalir Vidiyal Payanam daily’ (24 Nov 2024)</t>
  </si>
  <si>
    <t xml:space="preserve">https://www.newindianexpress.com/states/tamil-nadu/2024/Nov/24/57-lakh-women-benefit-from-magalir-vidiyal-payanam-daily</t>
  </si>
  <si>
    <t xml:space="preserve">in-covid-death-ex-gratia-2021</t>
  </si>
  <si>
    <t xml:space="preserve">2021-06</t>
  </si>
  <si>
    <t xml:space="preserve">Covid death ex gratia (₹50,000)</t>
  </si>
  <si>
    <t xml:space="preserve">₹50,000 per Covid death, paid by states from disaster funds within 30 days</t>
  </si>
  <si>
    <t xml:space="preserve">Gujarat approved 16,175 claims by Dec 2021 against an official toll of 10,099; in 2022 the SC allowed checks of 5% of claims in four states.</t>
  </si>
  <si>
    <t xml:space="preserve">hrf031; hrf127</t>
  </si>
  <si>
    <t xml:space="preserve">https://occult-kranti.github.io/fact-duel/hisaab/#/q/hrf031 https://occult-kranti.github.io/fact-duel/hisaab/#/q/hrf127</t>
  </si>
  <si>
    <t xml:space="preserve">LiveLaw — States should not deny ex-gratia for COVID deaths on ground that death certificate does not mention COVID (4 Oct 2021)</t>
  </si>
  <si>
    <t xml:space="preserve">https://www.livelaw.in/top-stories/states-should-not-deny-ex-gratia-for-covid-deaths-on-ground-that-death-certificate-does-not-mention-covid-as-cause-of-death-supreme-court-183028</t>
  </si>
  <si>
    <t xml:space="preserve">in-ujjwala-2-2021</t>
  </si>
  <si>
    <t xml:space="preserve">2021-08</t>
  </si>
  <si>
    <t xml:space="preserve">Ujjwala 2.0</t>
  </si>
  <si>
    <t xml:space="preserve">Free LPG connections, with migrants allowed to self-declare their address</t>
  </si>
  <si>
    <t xml:space="preserve">UP Assembly 2022</t>
  </si>
  <si>
    <t xml:space="preserve">BJP won 255 of 403 seats; SP 111</t>
  </si>
  <si>
    <t xml:space="preserve">Launched 184 days before UP polling; the BJP won 255 of 403. The cited sources make no causal claim.</t>
  </si>
  <si>
    <t xml:space="preserve">hdb034</t>
  </si>
  <si>
    <t xml:space="preserve">https://occult-kranti.github.io/fact-duel/hisaab/#/q/hdb034</t>
  </si>
  <si>
    <t xml:space="preserve">PIB — PM launches Ujjwala 2.0 from Mahoba, Uttar Pradesh (10 Aug 2021)</t>
  </si>
  <si>
    <t xml:space="preserve">https://www.pib.gov.in/PressReleasePage.aspx?PRID=1744400</t>
  </si>
  <si>
    <t xml:space="preserve">tg-dalit-bandhu-2021</t>
  </si>
  <si>
    <t xml:space="preserve">Dalit Bandhu</t>
  </si>
  <si>
    <t xml:space="preserve">₹10 lakh grant to each eligible Scheduled Caste family, with no bank loan</t>
  </si>
  <si>
    <t xml:space="preserve">76 families at the Vasalamarri launch</t>
  </si>
  <si>
    <t xml:space="preserve">₹7.6 crore at launch</t>
  </si>
  <si>
    <t xml:space="preserve">Huzurabad by-election 2021</t>
  </si>
  <si>
    <t xml:space="preserve">2021-10</t>
  </si>
  <si>
    <t xml:space="preserve">BJP won by 23,855 votes (51.96% to the TRS’s 40.38%)</t>
  </si>
  <si>
    <t xml:space="preserve">The BJP won the Huzurabad by-election 87 days later by 23,855 votes.</t>
  </si>
  <si>
    <t xml:space="preserve">hdb230</t>
  </si>
  <si>
    <t xml:space="preserve">https://occult-kranti.github.io/fact-duel/hisaab/#/q/hdb230</t>
  </si>
  <si>
    <t xml:space="preserve">The New Indian Express — Telangana CM KCR launches Dalit Bandhu in his very own Vasalamarri village (5 Aug 2021)</t>
  </si>
  <si>
    <t xml:space="preserve">https://www.newindianexpress.com/states/telangana/2021/Aug/05/telangana-chief-minister-kcr-launches-dalit-bandhuin-his-very-own-vasalamarri-village-2340287.html</t>
  </si>
  <si>
    <t xml:space="preserve">ga-free-water-2021</t>
  </si>
  <si>
    <t xml:space="preserve">2021-09</t>
  </si>
  <si>
    <t xml:space="preserve">Free household water (Goa)</t>
  </si>
  <si>
    <t xml:space="preserve">Pramod Sawant (Chief Minister, Goa, BJP)</t>
  </si>
  <si>
    <t xml:space="preserve">Free water up to 16,000 litres a month per household</t>
  </si>
  <si>
    <t xml:space="preserve">About 60% of people with zero bills (CM)</t>
  </si>
  <si>
    <t xml:space="preserve">Goa Assembly 2022</t>
  </si>
  <si>
    <t xml:space="preserve">BJP won 20 of 40; Congress 11</t>
  </si>
  <si>
    <t xml:space="preserve">In the February 2022 poll the BJP won 20 of 40 seats; the Congress won 11.</t>
  </si>
  <si>
    <t xml:space="preserve">hpe134</t>
  </si>
  <si>
    <t xml:space="preserve">https://occult-kranti.github.io/fact-duel/hisaab/#/q/hpe134</t>
  </si>
  <si>
    <t xml:space="preserve">The Indian Express — Goa free water scheme to begin today, first state to do so: Pramod Sawant (1 Sep 2021)</t>
  </si>
  <si>
    <t xml:space="preserve">https://indianexpress.com/article/india/goa-free-water-scheme-to-begin-today-first-state-to-do-so-pramod-sawant-7481239/</t>
  </si>
  <si>
    <t xml:space="preserve">pb-power-bill-waiver-2021</t>
  </si>
  <si>
    <t xml:space="preserve">Power-bill waiver for small connections (Punjab)</t>
  </si>
  <si>
    <t xml:space="preserve">Charanjit Singh Channi (Chief Minister, Punjab, INC)</t>
  </si>
  <si>
    <t xml:space="preserve">Pending power bills waived for connections up to 2 kW; cut connections restored</t>
  </si>
  <si>
    <t xml:space="preserve">53 lakh consumers</t>
  </si>
  <si>
    <t xml:space="preserve">About ₹1,200 crore</t>
  </si>
  <si>
    <t xml:space="preserve">Announced 144 days before polling; the AAP won 92 of 117.</t>
  </si>
  <si>
    <t xml:space="preserve">hpe133</t>
  </si>
  <si>
    <t xml:space="preserve">https://occult-kranti.github.io/fact-duel/hisaab/#/q/hpe133</t>
  </si>
  <si>
    <t xml:space="preserve">Business Standard — Punjab to waive pending power bills of those having connection of upto 2 kW (29 Sep 2021)</t>
  </si>
  <si>
    <t xml:space="preserve">https://www.business-standard.com/article/economy-policy/punjab-to-waive-pending-power-bills-of-those-having-connection-of-upto-2-kw-121092901283_1.html</t>
  </si>
  <si>
    <t xml:space="preserve">wb-lakshmir-bhandar-2021</t>
  </si>
  <si>
    <t xml:space="preserve">Lakshmir Bhandar</t>
  </si>
  <si>
    <t xml:space="preserve">Monthly cash for women aged 25–60 without a government job: ₹500–₹1,000 at launch</t>
  </si>
  <si>
    <t xml:space="preserve">Over 2.2 crore women by Feb 2026</t>
  </si>
  <si>
    <t xml:space="preserve">₹74,000 crore in 50 months; ₹28,615 crore (2025-26 revised)</t>
  </si>
  <si>
    <t xml:space="preserve">A 2021 TMC manifesto promise. A finance official said other projects were curtailed; mid-day meals spent 19% of their 2025-26 allocation.</t>
  </si>
  <si>
    <t xml:space="preserve">hpe132; hdb308; hdb307</t>
  </si>
  <si>
    <t xml:space="preserve">https://occult-kranti.github.io/fact-duel/hisaab/#/q/hpe132 https://occult-kranti.github.io/fact-duel/hisaab/#/q/hdb308 https://occult-kranti.github.io/fact-duel/hisaab/#/q/hdb307</t>
  </si>
  <si>
    <t xml:space="preserve">Times of India — Lakshmir Bhandar bank transfer from today (1 Sep 2021)</t>
  </si>
  <si>
    <t xml:space="preserve">https://timesofindia.indiatimes.com/city/kolkata/lakshmir-bhandar-bank-transfer-from-today/articleshow/85816832.cms</t>
  </si>
  <si>
    <t xml:space="preserve">in-farm-laws-repeal-2021</t>
  </si>
  <si>
    <t xml:space="preserve">2021-11</t>
  </si>
  <si>
    <t xml:space="preserve">Farm laws repealed</t>
  </si>
  <si>
    <t xml:space="preserve">Narendra Modi (Prime Minister, BJP); Narendra Singh Tomar (Union Agriculture Minister, BJP)</t>
  </si>
  <si>
    <t xml:space="preserve">Repeal of the three farm laws</t>
  </si>
  <si>
    <t xml:space="preserve">Assembly polls in UP, Punjab and 3 other states, 2022</t>
  </si>
  <si>
    <t xml:space="preserve">BJP kept UP with 255 of 403 seats; AAP won Punjab with 92 of 117</t>
  </si>
  <si>
    <t xml:space="preserve">Polling began 83 days after the announcement; the BJP kept UP with 255 of 403 and the AAP won Punjab with 92 of 117.</t>
  </si>
  <si>
    <t xml:space="preserve">hpe033</t>
  </si>
  <si>
    <t xml:space="preserve">https://occult-kranti.github.io/fact-duel/hisaab/#/q/hpe033</t>
  </si>
  <si>
    <t xml:space="preserve">The Hindu — Farm Laws Repeal Bill passed in Rajya Sabha by voice vote in less than five minutes (29 Nov 2021)</t>
  </si>
  <si>
    <t xml:space="preserve">https://www.thehindu.com/news/national/farm-laws-repeal-bill-passed-in-rajya-sabha-by-voice-vote-in-less-than-five-minutes/article37747790.ece</t>
  </si>
  <si>
    <t xml:space="preserve">in-fuel-excise-cut-2021</t>
  </si>
  <si>
    <t xml:space="preserve">Fuel excise cut (Diwali 2021)</t>
  </si>
  <si>
    <t xml:space="preserve">Excise cut by ₹10 a litre on diesel and ₹5 on petrol; BJP-ruled states cut VAT</t>
  </si>
  <si>
    <t xml:space="preserve">Polling began 99 days later; the BJP kept UP (255 of 403) and the AAP swept Punjab.</t>
  </si>
  <si>
    <t xml:space="preserve">hpe032</t>
  </si>
  <si>
    <t xml:space="preserve">https://occult-kranti.github.io/fact-duel/hisaab/#/q/hpe032</t>
  </si>
  <si>
    <t xml:space="preserve">Times of India — Centre slashes excise duty on diesel by Rs 10, petrol Rs 5 (3 Nov 2021)</t>
  </si>
  <si>
    <t xml:space="preserve">https://timesofindia.indiatimes.com/business/india-business/excise-duty-slashed-by-rs-10-on-diesel-rs-5-on-petrol/articleshow/87515788.cms</t>
  </si>
  <si>
    <t xml:space="preserve">pb-power-tariff-cut-2021</t>
  </si>
  <si>
    <t xml:space="preserve">₹3-a-unit power tariff cut (Punjab)</t>
  </si>
  <si>
    <t xml:space="preserve">Domestic tariffs cut by ₹3 a unit for loads up to 7 kW</t>
  </si>
  <si>
    <t xml:space="preserve">About 69 lakh of 71 lakh domestic consumers</t>
  </si>
  <si>
    <t xml:space="preserve">AAP won 92 of 117 seats; Congress 18</t>
  </si>
  <si>
    <t xml:space="preserve">The Congress lost in 2022; the AAP withdrew the cut in Sept 2024 (saving ₹1,500–1,800 crore a year), keeping 300 free units.</t>
  </si>
  <si>
    <t xml:space="preserve">hdb124</t>
  </si>
  <si>
    <t xml:space="preserve">https://occult-kranti.github.io/fact-duel/hisaab/#/q/hdb124</t>
  </si>
  <si>
    <t xml:space="preserve">Business Standard (PTI) — Punjab Cabinet withdraws previous Cong govt’s decision of subsidised power (5 Sep 2024)</t>
  </si>
  <si>
    <t xml:space="preserve">https://www.business-standard.com/india-news/punjab-cabinet-withdraws-previous-cong-govt-s-decision-of-subsidised-power-124090500693_1.html</t>
  </si>
  <si>
    <t xml:space="preserve">up-free-smartphones-tablets-2021</t>
  </si>
  <si>
    <t xml:space="preserve">2021-12</t>
  </si>
  <si>
    <t xml:space="preserve">Free smartphones and tablets (UP)</t>
  </si>
  <si>
    <t xml:space="preserve">Free smartphones and tablets for students and young people</t>
  </si>
  <si>
    <t xml:space="preserve">One crore devices targeted</t>
  </si>
  <si>
    <t xml:space="preserve">₹3,000 crore (Aug 2021 supplementary budget)</t>
  </si>
  <si>
    <t xml:space="preserve">Handouts began 47 days before polling; the BJP won 255 of 403 seats.</t>
  </si>
  <si>
    <t xml:space="preserve">hdb126</t>
  </si>
  <si>
    <t xml:space="preserve">https://occult-kranti.github.io/fact-duel/hisaab/#/q/hdb126</t>
  </si>
  <si>
    <t xml:space="preserve">Hindustan Times — UP govt to start distribution of free tablets, smartphones today (25 Dec 2021)</t>
  </si>
  <si>
    <t xml:space="preserve">https://www.hindustantimes.com/cities/lucknow-news/up-govt-to-start-distribution-of-free-tablets-smartphones-today-101640371641503.html</t>
  </si>
  <si>
    <t xml:space="preserve">rj-chiranjeevi</t>
  </si>
  <si>
    <t xml:space="preserve">2022</t>
  </si>
  <si>
    <t xml:space="preserve">Chiranjeevi health insurance</t>
  </si>
  <si>
    <t xml:space="preserve">Health cover up to ₹25 lakh per family a year</t>
  </si>
  <si>
    <t xml:space="preserve">1.33 crore Chiranjeevi families (2022-23)</t>
  </si>
  <si>
    <t xml:space="preserve">Rajasthan Assembly 2023</t>
  </si>
  <si>
    <t xml:space="preserve">2023-11</t>
  </si>
  <si>
    <t xml:space="preserve">BJP won 115 of 199 seats; Congress 69</t>
  </si>
  <si>
    <t xml:space="preserve">The Congress promised ₹50 lakh in 2023; the BJP won 115 of 199 and said earlier schemes would continue.</t>
  </si>
  <si>
    <t xml:space="preserve">hst147; hdb130</t>
  </si>
  <si>
    <t xml:space="preserve">https://occult-kranti.github.io/fact-duel/hisaab/#/q/hst147 https://occult-kranti.github.io/fact-duel/hisaab/#/q/hdb130</t>
  </si>
  <si>
    <t xml:space="preserve">The Hindu — Expansion of health cover under Chiranjeevi scheme ‘impractical’, says BJP leader (Nov 2023)</t>
  </si>
  <si>
    <t xml:space="preserve">https://www.thehindu.com/elections/rajasthan-assembly/ashok-gehlots-expansion-of-health-cover-under-chiranjeevi-scheme-impractical-says-bjp-leader/article67567361.ece</t>
  </si>
  <si>
    <t xml:space="preserve">tr-social-pension-2022</t>
  </si>
  <si>
    <t xml:space="preserve">Social pension raised to ₹2,000 (Tripura)</t>
  </si>
  <si>
    <t xml:space="preserve">Manik Saha (Chief Minister, Tripura, BJP)</t>
  </si>
  <si>
    <t xml:space="preserve">Social pensions raised from ₹700 to ₹2,000 a month</t>
  </si>
  <si>
    <t xml:space="preserve">Tripura Assembly 2023</t>
  </si>
  <si>
    <t xml:space="preserve">2023-02</t>
  </si>
  <si>
    <t xml:space="preserve">BJP–IPFT won 33 of 60 seats; TIPRA Motha 13, Left–Congress 14</t>
  </si>
  <si>
    <t xml:space="preserve">Pensioners fell from 3.71 lakh to 3.18 lakh under the BJP (official). The BJP–IPFT kept Tripura with 33 of 60 seats.</t>
  </si>
  <si>
    <t xml:space="preserve">hdb330</t>
  </si>
  <si>
    <t xml:space="preserve">https://occult-kranti.github.io/fact-duel/hisaab/#/q/hdb330</t>
  </si>
  <si>
    <t xml:space="preserve">hp-free-power-60-units-2022</t>
  </si>
  <si>
    <t xml:space="preserve">2022-01</t>
  </si>
  <si>
    <t xml:space="preserve">Free power up to 60 units (Himachal)</t>
  </si>
  <si>
    <t xml:space="preserve">Zero bills up to 60 units a month, ₹1 a unit up to 125</t>
  </si>
  <si>
    <t xml:space="preserve">About 11 lakh consumers</t>
  </si>
  <si>
    <t xml:space="preserve">₹60 crore a year</t>
  </si>
  <si>
    <t xml:space="preserve">Himachal Assembly 2022</t>
  </si>
  <si>
    <t xml:space="preserve">2022-11</t>
  </si>
  <si>
    <t xml:space="preserve">Congress won 40 of 68 seats; BJP 25</t>
  </si>
  <si>
    <t xml:space="preserve">The BJP lost the November 2022 poll: the Congress won 40 of 68 seats.</t>
  </si>
  <si>
    <t xml:space="preserve">hdb129</t>
  </si>
  <si>
    <t xml:space="preserve">https://occult-kranti.github.io/fact-duel/hisaab/#/q/hdb129</t>
  </si>
  <si>
    <t xml:space="preserve">The Indian Express — Himachal Statehood Day: CM Jai Ram Thakur announces free power to households consuming 60 units per month (25 Jan 2022)</t>
  </si>
  <si>
    <t xml:space="preserve">https://indianexpress.com/article/cities/shimla/himachal-pradesh-statehood-day-jai-ram-thakur-announcement-free-power-7741486/</t>
  </si>
  <si>
    <t xml:space="preserve">up-tube-well-bill-cut-2022</t>
  </si>
  <si>
    <t xml:space="preserve">Tube-well power bill cut (UP)</t>
  </si>
  <si>
    <t xml:space="preserve">50% cut in farmers’ tube-well electricity bills</t>
  </si>
  <si>
    <t xml:space="preserve">Over 13 lakh users</t>
  </si>
  <si>
    <t xml:space="preserve">BJP won 255 of 403; SP 111</t>
  </si>
  <si>
    <t xml:space="preserve">The BJP won 255 of 403; Crisil warned discoms usually recover such losses from industrial tariffs.</t>
  </si>
  <si>
    <t xml:space="preserve">hpe135</t>
  </si>
  <si>
    <t xml:space="preserve">https://occult-kranti.github.io/fact-duel/hisaab/#/q/hpe135</t>
  </si>
  <si>
    <t xml:space="preserve">Times of India — Assembly elections: Parties are promising 'free' power. Who will bear this cost? (10 Jan 2022)</t>
  </si>
  <si>
    <t xml:space="preserve">https://timesofindia.indiatimes.com/business/india-business/explained-punjab-and-up-govt-are-doling-out-free-electricity-ahead-of-elections-but-who-will-bear-this-cost/articleshow/88804306.cms</t>
  </si>
  <si>
    <t xml:space="preserve">wb-mgnrega-funds-halt-2022</t>
  </si>
  <si>
    <t xml:space="preserve">2022-03</t>
  </si>
  <si>
    <t xml:space="preserve">MGNREGA funds to West Bengal stopped</t>
  </si>
  <si>
    <t xml:space="preserve">Central MGNREGA funds halted for non-compliance</t>
  </si>
  <si>
    <t xml:space="preserve">The Supreme Court left a High Court restart order in place (Oct 2025); work resumed under VB-G RAM G in July 2026.</t>
  </si>
  <si>
    <t xml:space="preserve">hdb040</t>
  </si>
  <si>
    <t xml:space="preserve">https://occult-kranti.github.io/fact-duel/hisaab/#/q/hdb040</t>
  </si>
  <si>
    <t xml:space="preserve">LiveLaw — Supreme Court dismisses Centre's plea against HC direction to resume MGNREGA in West Bengal (27 Oct 2025)</t>
  </si>
  <si>
    <t xml:space="preserve">https://www.livelaw.in/top-stories/supreme-court-dismisses-centres-plea-against-high-court-direction-to-resume-mgnrega-scheme-in-west-bengal-307952</t>
  </si>
  <si>
    <t xml:space="preserve">hp-hrtc-women-fare-2022</t>
  </si>
  <si>
    <t xml:space="preserve">2022-04</t>
  </si>
  <si>
    <t xml:space="preserve">HRTC fare concession for women</t>
  </si>
  <si>
    <t xml:space="preserve">50% off ordinary HRTC bus fares for women within the state</t>
  </si>
  <si>
    <t xml:space="preserve">Announced 211 days before polling; the Congress won 40 of 68. No cited source links the concession to the result.</t>
  </si>
  <si>
    <t xml:space="preserve">hdb413</t>
  </si>
  <si>
    <t xml:space="preserve">https://occult-kranti.github.io/fact-duel/hisaab/#/q/hdb413</t>
  </si>
  <si>
    <t xml:space="preserve">The Indian Express — Himachal approves 50% bus fare concession for women (27 May 2022)</t>
  </si>
  <si>
    <t xml:space="preserve">https://indianexpress.com/article/cities/shimla/himachal-approves-50-bus-fare-concession-for-women-7938712/</t>
  </si>
  <si>
    <t xml:space="preserve">ap-sdrf-money-returned-2022</t>
  </si>
  <si>
    <t xml:space="preserve">2022-07</t>
  </si>
  <si>
    <t xml:space="preserve">SDRF money returned (Andhra Pradesh)</t>
  </si>
  <si>
    <t xml:space="preserve">₹1,100 crore moved from the SDRF to an Agriculture Commissioner deposit account, to be returned</t>
  </si>
  <si>
    <t xml:space="preserve">After Supreme Court criticism the state agreed to revert the money within two weeks for use on Covid compensation.</t>
  </si>
  <si>
    <t xml:space="preserve">hrf129</t>
  </si>
  <si>
    <t xml:space="preserve">https://occult-kranti.github.io/fact-duel/hisaab/#/q/hrf129</t>
  </si>
  <si>
    <t xml:space="preserve">LiveLaw — After SC's criticism, Andhra Pradesh agrees to revert Rs 1,100 crore to SDRF (18 Jul 2022)</t>
  </si>
  <si>
    <t xml:space="preserve">https://www.livelaw.in/top-stories/supreme-court-covid-19-ex-gratia-compensation-andhra-pradesh-state-disaster-relief-fund-204099</t>
  </si>
  <si>
    <t xml:space="preserve">as-floods-cash-relief-2022</t>
  </si>
  <si>
    <t xml:space="preserve">Assam floods cash relief</t>
  </si>
  <si>
    <t xml:space="preserve">Himanta Biswa Sarma (Chief Minister, Assam, BJP)</t>
  </si>
  <si>
    <t xml:space="preserve">₹3,800 per affected family, ₹1,000 per student for textbooks, about ₹400 crore for houses</t>
  </si>
  <si>
    <t xml:space="preserve">1.81 lakh families; 1.01 lakh students</t>
  </si>
  <si>
    <t xml:space="preserve">The CM said the Centre bore 90% of the cost; after the 2026 floods some families said the ₹15,000 initial relief had not arrived.</t>
  </si>
  <si>
    <t xml:space="preserve">hrf130</t>
  </si>
  <si>
    <t xml:space="preserve">https://occult-kranti.github.io/fact-duel/hisaab/#/q/hrf130</t>
  </si>
  <si>
    <t xml:space="preserve">The New Indian Express — Recent Assam floods worst ever, says CM Himanta as toll touches 195 (16 Jul 2022)</t>
  </si>
  <si>
    <t xml:space="preserve">https://www.newindianexpress.com/india/2022/Jul/16/recent-assam-floods-worst-ever-has-highest-ever-casualties-says-cm-himanta-as-toll-touches-195-2477299.html</t>
  </si>
  <si>
    <t xml:space="preserve">ml-focus-plus-2022</t>
  </si>
  <si>
    <t xml:space="preserve">FOCUS+ family benefit</t>
  </si>
  <si>
    <t xml:space="preserve">ML</t>
  </si>
  <si>
    <t xml:space="preserve">Meghalaya</t>
  </si>
  <si>
    <t xml:space="preserve">NPP</t>
  </si>
  <si>
    <t xml:space="preserve">Conrad Sangma (Chief Minister, Meghalaya, NPP)</t>
  </si>
  <si>
    <t xml:space="preserve">₹5,000 cash for every household</t>
  </si>
  <si>
    <t xml:space="preserve">Meghalaya Assembly 2023</t>
  </si>
  <si>
    <t xml:space="preserve">NPP won 26 of the 59 seats polled and formed the government with allies</t>
  </si>
  <si>
    <t xml:space="preserve">The NPP won 26 of 59 seats polled in Feb 2023 and formed the government with allies.</t>
  </si>
  <si>
    <t xml:space="preserve">hpe216</t>
  </si>
  <si>
    <t xml:space="preserve">https://occult-kranti.github.io/fact-duel/hisaab/#/q/hpe216</t>
  </si>
  <si>
    <t xml:space="preserve">ANI — Meghalaya CM announces Rs 5,000 for every household under FOCUS+ scheme (29 Jul 2022)</t>
  </si>
  <si>
    <t xml:space="preserve">https://www.aninews.in/news/national/general-news/meghalaya-cm-announces-rs-5000-for-every-household-under-focus-scheme20220729141845/</t>
  </si>
  <si>
    <t xml:space="preserve">in-pmay-urban-extension-2022</t>
  </si>
  <si>
    <t xml:space="preserve">2022-08</t>
  </si>
  <si>
    <t xml:space="preserve">PMAY-Urban extended to 2024</t>
  </si>
  <si>
    <t xml:space="preserve">Housing for All mission extended to finish houses already sanctioned</t>
  </si>
  <si>
    <t xml:space="preserve">122.69 lakh sanctioned houses</t>
  </si>
  <si>
    <t xml:space="preserve">Extended to December 2024 after states sought more time; PMAY-U 2.0 followed in 2024.</t>
  </si>
  <si>
    <t xml:space="preserve">hsc027</t>
  </si>
  <si>
    <t xml:space="preserve">https://occult-kranti.github.io/fact-duel/hisaab/#/q/hsc027</t>
  </si>
  <si>
    <t xml:space="preserve">PMO — Cabinet approves continuation of PMAY-U up to 31 Dec 2024 (10 Aug 2022)</t>
  </si>
  <si>
    <t xml:space="preserve">https://www.pmindia.gov.in/en/news_updates/cabinet-approves-continuation-of-pradhan-mantri-awas-yojana-urban-pmay-u-housing-for-all-mission-up-to-31st-december-2024/</t>
  </si>
  <si>
    <t xml:space="preserve">mz-sedp-2022</t>
  </si>
  <si>
    <t xml:space="preserve">SEDP family assistance</t>
  </si>
  <si>
    <t xml:space="preserve">₹50,000 per family in ₹25,000 instalments (up to ₹3 lakh promised)</t>
  </si>
  <si>
    <t xml:space="preserve">About 60,000 families got ₹50,000; 60,000 more got ₹25,000</t>
  </si>
  <si>
    <t xml:space="preserve">A third phase never came; the MNF lost in November 2023 (ZPM 27 of 40, MNF 10).</t>
  </si>
  <si>
    <t xml:space="preserve">hdb326</t>
  </si>
  <si>
    <t xml:space="preserve">https://occult-kranti.github.io/fact-duel/hisaab/#/q/hdb326</t>
  </si>
  <si>
    <t xml:space="preserve">The Quint — Mizoram: Will ZPM break the pattern of governments changing after two terms? (6 Nov 2023)</t>
  </si>
  <si>
    <t xml:space="preserve">https://www.thequint.com/opinion/mizoram-will-zpm-break-the-pattern-of-governments-changing-after-two-terms</t>
  </si>
  <si>
    <t xml:space="preserve">gj-free-lpg-cylinders-2022</t>
  </si>
  <si>
    <t xml:space="preserve">2022-10</t>
  </si>
  <si>
    <t xml:space="preserve">Two free LPG cylinders a year (Gujarat)</t>
  </si>
  <si>
    <t xml:space="preserve">Jitu Vaghani (Minister and government spokesperson, Gujarat, BJP); Kanu Desai (Finance Minister, Gujarat, BJP)</t>
  </si>
  <si>
    <t xml:space="preserve">Two free LPG cylinders a year for PM Ujjwala households, plus a VAT cut on CNG and PNG</t>
  </si>
  <si>
    <t xml:space="preserve">About 38 lakh families</t>
  </si>
  <si>
    <t xml:space="preserve">₹650 crore a year; ₹1,650 crore with the VAT cut</t>
  </si>
  <si>
    <t xml:space="preserve">Gujarat Assembly 2022</t>
  </si>
  <si>
    <t xml:space="preserve">2022-12</t>
  </si>
  <si>
    <t xml:space="preserve">BJP won 156 of 182 seats; Congress 17, AAP 5</t>
  </si>
  <si>
    <t xml:space="preserve">Announced 45 days before polling; the BJP won 156 of 182 seats.</t>
  </si>
  <si>
    <t xml:space="preserve">hdb231</t>
  </si>
  <si>
    <t xml:space="preserve">https://occult-kranti.github.io/fact-duel/hisaab/#/q/hdb231</t>
  </si>
  <si>
    <t xml:space="preserve">The Indian Express — Gujarat govt announces 2 free cylinders under PMUY, 38 lakh households to benefit (17 Oct 2022)</t>
  </si>
  <si>
    <t xml:space="preserve">https://indianexpress.com/article/cities/gandhinagar/gujarat-announces-free-cylinders-pmuy-38-lakh-households-benefit-8214581/</t>
  </si>
  <si>
    <t xml:space="preserve">gj-garib-kalyan-mela-13th-2022</t>
  </si>
  <si>
    <t xml:space="preserve">Garib Kalyan Mela, 13th round</t>
  </si>
  <si>
    <t xml:space="preserve">Bhupendra Patel (Chief Minister, Gujarat, BJP)</t>
  </si>
  <si>
    <t xml:space="preserve">Scheme benefits handed out at melas across the state</t>
  </si>
  <si>
    <t xml:space="preserve">35,583 people on the opening day</t>
  </si>
  <si>
    <t xml:space="preserve">₹281 crore on the opening day</t>
  </si>
  <si>
    <t xml:space="preserve">BJP won 156 of 182 seats</t>
  </si>
  <si>
    <t xml:space="preserve">Opened 48 days before polling; the BJP won 156 of 182 seats, a record seventh straight term.</t>
  </si>
  <si>
    <t xml:space="preserve">hpe215</t>
  </si>
  <si>
    <t xml:space="preserve">https://occult-kranti.github.io/fact-duel/hisaab/#/q/hpe215</t>
  </si>
  <si>
    <t xml:space="preserve">CMO Gujarat — Guj CM kick starts 13th edition of state-wide Garib Kalyan Mela (14 Oct 2022)</t>
  </si>
  <si>
    <t xml:space="preserve">https://cmogujarat.gov.in/en/latest-news/13th-edition-of-state-wide-garib-kalyan-mela</t>
  </si>
  <si>
    <t xml:space="preserve">jh-sukhad-rahat-2022</t>
  </si>
  <si>
    <t xml:space="preserve">Mukhyamantri Sukhad Rahat Yojana</t>
  </si>
  <si>
    <t xml:space="preserve">JMM</t>
  </si>
  <si>
    <t xml:space="preserve">Hemant Soren (Chief Minister, Jharkhand, JMM)</t>
  </si>
  <si>
    <t xml:space="preserve">₹3,500 cash to each farmer family in drought-hit blocks</t>
  </si>
  <si>
    <t xml:space="preserve">Over 30 lakh farmers targeted; 13.35 lakh applied by Dec 2022</t>
  </si>
  <si>
    <t xml:space="preserve">Server glitches kept many queuing overnight; ₹3,500 was ordered again in January 2024 for 158 blocks.</t>
  </si>
  <si>
    <t xml:space="preserve">hrf219</t>
  </si>
  <si>
    <t xml:space="preserve">https://occult-kranti.github.io/fact-duel/hisaab/#/q/hrf219</t>
  </si>
  <si>
    <t xml:space="preserve">The Indian Express — 224 blocks in 22 Jharkhand districts declared 'drought-hit' (30 Oct 2022)</t>
  </si>
  <si>
    <t xml:space="preserve">https://indianexpress.com/article/india/224-blocks-in-22-jharkhand-districts-declared-drought-hit-8237677/</t>
  </si>
  <si>
    <t xml:space="preserve">mh-anandacha-shidha-2022</t>
  </si>
  <si>
    <t xml:space="preserve">Anandacha Shidha ration kit</t>
  </si>
  <si>
    <t xml:space="preserve">Eknath Shinde (Chief Minister, Maharashtra, Shiv Sena)</t>
  </si>
  <si>
    <t xml:space="preserve">A festival ration kit for ₹100</t>
  </si>
  <si>
    <t xml:space="preserve">About ₹350 crore per round</t>
  </si>
  <si>
    <t xml:space="preserve">No Diwali kit in 2025, as the finance department could not sanction funds; the minister cited Ladki Bahin’s cost.</t>
  </si>
  <si>
    <t xml:space="preserve">hdb412</t>
  </si>
  <si>
    <t xml:space="preserve">https://occult-kranti.github.io/fact-duel/hisaab/#/q/hdb412</t>
  </si>
  <si>
    <t xml:space="preserve">The Times of India — Maharashtra: Govt won’t give ration kits to poor this Diwali, cites financial challenges (7 Oct 2025)</t>
  </si>
  <si>
    <t xml:space="preserve">https://timesofindia.indiatimes.com/city/pune/no-anandacha-shidha-this-diwali-owing-to-financial-crunch-in-state/articleshow/124347787.cms</t>
  </si>
  <si>
    <t xml:space="preserve">nl-cm-health-insurance-2022</t>
  </si>
  <si>
    <t xml:space="preserve">CM’s Health Insurance Scheme (Nagaland)</t>
  </si>
  <si>
    <t xml:space="preserve">NL</t>
  </si>
  <si>
    <t xml:space="preserve">Nagaland</t>
  </si>
  <si>
    <t xml:space="preserve">NDPP</t>
  </si>
  <si>
    <t xml:space="preserve">Neiphiu Rio (Chief Minister, Nagaland, NDPP)</t>
  </si>
  <si>
    <t xml:space="preserve">₹20 lakh cover for government staff and pensioners; ₹5 lakh for other residents</t>
  </si>
  <si>
    <t xml:space="preserve">₹69 crore premium (year one)</t>
  </si>
  <si>
    <t xml:space="preserve">Nagaland Assembly 2023</t>
  </si>
  <si>
    <t xml:space="preserve">NDPP–BJP won 37 of 60 seats (NDPP 25, BJP 12)</t>
  </si>
  <si>
    <t xml:space="preserve">Four months later the NDPP–BJP won 37 of 60 seats and Neiphiu Rio began a fifth term.</t>
  </si>
  <si>
    <t xml:space="preserve">hdb332</t>
  </si>
  <si>
    <t xml:space="preserve">https://occult-kranti.github.io/fact-duel/hisaab/#/q/hdb332</t>
  </si>
  <si>
    <t xml:space="preserve">ET BFSI (PTI) — Nagaland launches universal health insurance scheme (15 Oct 2022)</t>
  </si>
  <si>
    <t xml:space="preserve">https://bfsi.economictimes.indiatimes.com/news/insurance/nagaland-launches-universal-health-insurance-scheme/94871385</t>
  </si>
  <si>
    <t xml:space="preserve">hp-monsoon-relief-2023</t>
  </si>
  <si>
    <t xml:space="preserve">2023</t>
  </si>
  <si>
    <t xml:space="preserve">Himachal 2023 monsoon relief</t>
  </si>
  <si>
    <t xml:space="preserve">Compensation for a destroyed house raised from ₹1.3 lakh to ₹7 lakh; ₹4,500 crore set aside</t>
  </si>
  <si>
    <t xml:space="preserve">₹1,148 crore received via SDRF and NDRF in 2023–24</t>
  </si>
  <si>
    <t xml:space="preserve">A year on, some families said they had got only ₹3 lakh. Modi alleged ‘bandarbant’ in 2024; the state called it baseless.</t>
  </si>
  <si>
    <t xml:space="preserve">hrf131</t>
  </si>
  <si>
    <t xml:space="preserve">https://occult-kranti.github.io/fact-duel/hisaab/#/q/hrf131</t>
  </si>
  <si>
    <t xml:space="preserve">The Indian Express — Decode politics: Why PM Modi is talking of 'bandarbant' in Himachal (30 May 2024)</t>
  </si>
  <si>
    <t xml:space="preserve">https://indianexpress.com/article/political-pulse/decode-politics-why-pm-modi-is-talking-of-bandarbant-in-himachal-9360120/</t>
  </si>
  <si>
    <t xml:space="preserve">in-onorc</t>
  </si>
  <si>
    <t xml:space="preserve">One Nation One Ration Card</t>
  </si>
  <si>
    <t xml:space="preserve">Food-security grain collectable at any fair price shop in India</t>
  </si>
  <si>
    <t xml:space="preserve">28 crore portability transactions in 2023 (to November)</t>
  </si>
  <si>
    <t xml:space="preserve">Over 80 lakh tonnes moved through portability in 2023; 99.8% of shops used ePoS machines (PIB).</t>
  </si>
  <si>
    <t xml:space="preserve">hsc022</t>
  </si>
  <si>
    <t xml:space="preserve">https://occult-kranti.github.io/fact-duel/hisaab/#/q/hsc022</t>
  </si>
  <si>
    <t xml:space="preserve">PIB (Food &amp; Public Distribution) — Year-End Review 2023 (27 Dec 2023)</t>
  </si>
  <si>
    <t xml:space="preserve">https://www.pib.gov.in/PressReleaseIframePage.aspx?PRID=1990696</t>
  </si>
  <si>
    <t xml:space="preserve">mp-ladli-behna-hike-2023</t>
  </si>
  <si>
    <t xml:space="preserve">Ladli Behna ₹1,250 and LPG at ₹450</t>
  </si>
  <si>
    <t xml:space="preserve">Ladli Behna raised from ₹1,000 to ₹1,250 a month; LPG cylinders at ₹450 for women</t>
  </si>
  <si>
    <t xml:space="preserve">₹5,000 crore extra earmarked (first costed at ₹8,000 crore a year)</t>
  </si>
  <si>
    <t xml:space="preserve">Madhya Pradesh Assembly 2023</t>
  </si>
  <si>
    <t xml:space="preserve">BJP won 163 of 230 seats; Congress 66</t>
  </si>
  <si>
    <t xml:space="preserve">The BJP won 163 of 230; the payment rose again to ₹1,500 in November 2025.</t>
  </si>
  <si>
    <t xml:space="preserve">hdb233</t>
  </si>
  <si>
    <t xml:space="preserve">https://occult-kranti.github.io/fact-duel/hisaab/#/q/hdb233</t>
  </si>
  <si>
    <t xml:space="preserve">The Indian Express — In MP, Shivraj hopes women will help beat anti-incumbency, puts all money in their purse (14 Oct 2023)</t>
  </si>
  <si>
    <t xml:space="preserve">https://indianexpress.com/article/political-pulse/mp-shivraj-hopes-women-beat-anti-incumbency-money-purse-8983165/</t>
  </si>
  <si>
    <t xml:space="preserve">sk-aama-yojana-2023</t>
  </si>
  <si>
    <t xml:space="preserve">Sikkim Aama Yojana</t>
  </si>
  <si>
    <t xml:space="preserve">SKM</t>
  </si>
  <si>
    <t xml:space="preserve">Prem Singh Tamang (Chief Minister, Sikkim, SKM)</t>
  </si>
  <si>
    <t xml:space="preserve">₹20,000 grant to eligible non-working mothers aged 18–59</t>
  </si>
  <si>
    <t xml:space="preserve">The bank holds no reach or cost figures yet.</t>
  </si>
  <si>
    <t xml:space="preserve">hst346</t>
  </si>
  <si>
    <t xml:space="preserve">https://occult-kranti.github.io/fact-duel/hisaab/#/q/hst346</t>
  </si>
  <si>
    <t xml:space="preserve">The New Indian Express — Welfare schemes do wonders for SKM in Sikkim (2 Jun 2024)</t>
  </si>
  <si>
    <t xml:space="preserve">https://www.newindianexpress.com/india/2024/Jun/02/bjp-capitalises-on-weakened-opposition-in-arunachal-welfare-schemes-do-wonders-for-skm-in-sikkim</t>
  </si>
  <si>
    <t xml:space="preserve">hp-old-pension-restored-2023</t>
  </si>
  <si>
    <t xml:space="preserve">2023-01</t>
  </si>
  <si>
    <t xml:space="preserve">Old Pension Scheme restored (Himachal)</t>
  </si>
  <si>
    <t xml:space="preserve">Sukhvinder Singh Sukhu (Chief Minister, Himachal Pradesh, INC)</t>
  </si>
  <si>
    <t xml:space="preserve">State employees moved from the NPS back to the Old Pension Scheme</t>
  </si>
  <si>
    <t xml:space="preserve">Over 1.36 lakh employees</t>
  </si>
  <si>
    <t xml:space="preserve">A 2022 Congress poll promise (won 40 of 68). By 2025-26 pensions took 28% of the state’s revenue receipts (PRS).</t>
  </si>
  <si>
    <t xml:space="preserve">hst119</t>
  </si>
  <si>
    <t xml:space="preserve">https://occult-kranti.github.io/fact-duel/hisaab/#/q/hst119</t>
  </si>
  <si>
    <t xml:space="preserve">The Hindu — Himachal Pradesh decides to restore OPS for its employees (13 Jan 2023)</t>
  </si>
  <si>
    <t xml:space="preserve">https://www.thehindu.com/news/national/other-states/himachal-pradesh-decides-to-restores-ops-for-its-employees/article66373793.ece</t>
  </si>
  <si>
    <t xml:space="preserve">ut-joshimath-2023</t>
  </si>
  <si>
    <t xml:space="preserve">Joshimath interim relief and recovery plan</t>
  </si>
  <si>
    <t xml:space="preserve">Pushkar Singh Dhami (Chief Minister, Uttarakhand, BJP); Amit Shah (Union Home Minister (chair, High Level Committee), BJP)</t>
  </si>
  <si>
    <t xml:space="preserve">₹1.5 lakh interim aid per family (up from ₹5,000)</t>
  </si>
  <si>
    <t xml:space="preserve">About 3,000 households; 868 structures cracked</t>
  </si>
  <si>
    <t xml:space="preserve">₹45 crore interim; ₹1,658.17 crore recovery plan</t>
  </si>
  <si>
    <t xml:space="preserve">By mid-2023 ₹26 crore of compensation reached 118 families; residents said payouts fell short of relocation costs.</t>
  </si>
  <si>
    <t xml:space="preserve">hrf220; hst134</t>
  </si>
  <si>
    <t xml:space="preserve">https://occult-kranti.github.io/fact-duel/hisaab/#/q/hrf220 https://occult-kranti.github.io/fact-duel/hisaab/#/q/hst134</t>
  </si>
  <si>
    <t xml:space="preserve">The Times of India — Uttarakhand increases Joshimath aid 30x to 1.5L per family (12 Jan 2023)</t>
  </si>
  <si>
    <t xml:space="preserve">https://timesofindia.indiatimes.com/city/dehradun/uttarakhand-increases-joshimath-aid-30x-to-1-5l-per-family/articleshow/96920948.cms</t>
  </si>
  <si>
    <t xml:space="preserve">ka-bommai-budget-2023</t>
  </si>
  <si>
    <t xml:space="preserve">Bommai’s last budget</t>
  </si>
  <si>
    <t xml:space="preserve">Basavaraj Bommai (Chief Minister and Finance Minister, Karnataka, BJP)</t>
  </si>
  <si>
    <t xml:space="preserve">Interest-free farm loans up to ₹5 lakh; ₹10,000 ‘Bhoo Siri’ top-up; free tuition in government colleges</t>
  </si>
  <si>
    <t xml:space="preserve">About 50 lakh farmers (Bhoo Siri)</t>
  </si>
  <si>
    <t xml:space="preserve">Karnataka Assembly 2023</t>
  </si>
  <si>
    <t xml:space="preserve">2023-05</t>
  </si>
  <si>
    <t xml:space="preserve">Congress won 135 of 224; BJP 66; JD(S) 19</t>
  </si>
  <si>
    <t xml:space="preserve">In May 2023 the Congress, campaigning on five ‘guarantees’, won 135 of 224; the BJP fell to 66.</t>
  </si>
  <si>
    <t xml:space="preserve">hpe136</t>
  </si>
  <si>
    <t xml:space="preserve">https://occult-kranti.github.io/fact-duel/hisaab/#/q/hpe136</t>
  </si>
  <si>
    <t xml:space="preserve">The South First — Free bus passes, waivers, grants, incentives: 'Revdi' by BJP government in Karnataka budget 2023 (17 Feb 2023)</t>
  </si>
  <si>
    <t xml:space="preserve">https://thesouthfirst.com/karnataka/free-bus-passes-waivers-grants-incentives-revdi-by-bjp-government-in-karnataka-budget-2023/</t>
  </si>
  <si>
    <t xml:space="preserve">ka-pm-kisan-13th-2023</t>
  </si>
  <si>
    <t xml:space="preserve">PM-KISAN 13th instalment (Belagavi)</t>
  </si>
  <si>
    <t xml:space="preserve">₹2,000 to each eligible farmer family, released at Belagavi</t>
  </si>
  <si>
    <t xml:space="preserve">About 8 crore farmers</t>
  </si>
  <si>
    <t xml:space="preserve">Over ₹16,000 crore</t>
  </si>
  <si>
    <t xml:space="preserve">Congress won 135 of 224 seats; BJP 66; JD(S) 19</t>
  </si>
  <si>
    <t xml:space="preserve">Released 72 days before Karnataka voted; the BJP lost the state (Congress 135 of 224).</t>
  </si>
  <si>
    <t xml:space="preserve">hpe217</t>
  </si>
  <si>
    <t xml:space="preserve">https://occult-kranti.github.io/fact-duel/hisaab/#/q/hpe217</t>
  </si>
  <si>
    <t xml:space="preserve">Times of India — PM Modi releases over Rs 16,000 crore to 8 crore farmers under PM-KISAN (27 Feb 2023)</t>
  </si>
  <si>
    <t xml:space="preserve">https://timesofindia.indiatimes.com/india/prime-minister-narendra-modi-inaugurates-shivamogga-airport-in-karnataka-road-show-belagavi-farmers/articleshow/98263230.cms</t>
  </si>
  <si>
    <t xml:space="preserve">ka-upper-bhadra-2023</t>
  </si>
  <si>
    <t xml:space="preserve">Budget 2023-24: Upper Bhadra aid</t>
  </si>
  <si>
    <t xml:space="preserve">Central assistance for the Upper Bhadra irrigation project</t>
  </si>
  <si>
    <t xml:space="preserve">₹5,300 crore promised</t>
  </si>
  <si>
    <t xml:space="preserve">Congress won 135 of 224 seats; BJP 66, JD(S) 19</t>
  </si>
  <si>
    <t xml:space="preserve">The Congress won 135 of 224; the state said in April 2026 the ₹5,300 crore was still unreleased.</t>
  </si>
  <si>
    <t xml:space="preserve">hpe035</t>
  </si>
  <si>
    <t xml:space="preserve">https://occult-kranti.github.io/fact-duel/hisaab/#/q/hpe035</t>
  </si>
  <si>
    <t xml:space="preserve">indiabudget.gov.in — Budget Speech 2023-24, Nirmala Sitharaman (1 Feb 2023)</t>
  </si>
  <si>
    <t xml:space="preserve">https://www.indiabudget.gov.in/budget2023-24/doc/Budget_Speech.pdf</t>
  </si>
  <si>
    <t xml:space="preserve">br-hooch-death-ex-gratia-2023</t>
  </si>
  <si>
    <t xml:space="preserve">2023-04</t>
  </si>
  <si>
    <t xml:space="preserve">Ex gratia for hooch deaths</t>
  </si>
  <si>
    <t xml:space="preserve">₹4 lakh from the CM’s Relief Fund to families of spurious-liquor victims since 2016, on a pledge to back prohibition</t>
  </si>
  <si>
    <t xml:space="preserve">Families in 199 hooch-death incidents (2016–23)</t>
  </si>
  <si>
    <t xml:space="preserve">Paid only for deaths: in 2026 officials said there is no compensation for blindness and no count of those blinded.</t>
  </si>
  <si>
    <t xml:space="preserve">hrf222</t>
  </si>
  <si>
    <t xml:space="preserve">https://occult-kranti.github.io/fact-duel/hisaab/#/q/hrf222</t>
  </si>
  <si>
    <t xml:space="preserve">India Today — Why Nitish declared compensation for all hooch deaths since prohibition in Bihar (24 Apr 2023)</t>
  </si>
  <si>
    <t xml:space="preserve">https://www.indiatoday.in/india-today-insight/story/why-nitish-declared-compensation-for-all-hooch-deaths-since-prohibition-in-bihar-2364115-2023-04-24</t>
  </si>
  <si>
    <t xml:space="preserve">rj-mehngai-rahat-camps-2023</t>
  </si>
  <si>
    <t xml:space="preserve">Mehngai Rahat camps</t>
  </si>
  <si>
    <t xml:space="preserve">Guarantee cards for 10 schemes: ₹500 LPG, 100 free units, ₹1,000 pension, ₹25 lakh health cover</t>
  </si>
  <si>
    <t xml:space="preserve">1.82 crore families registered (state figure)</t>
  </si>
  <si>
    <t xml:space="preserve">Rajasthan voted the Congress out 215 days after the camps opened: BJP 115 of 199, Congress 69.</t>
  </si>
  <si>
    <t xml:space="preserve">hpe218</t>
  </si>
  <si>
    <t xml:space="preserve">https://occult-kranti.github.io/fact-duel/hisaab/#/q/hpe218</t>
  </si>
  <si>
    <t xml:space="preserve">ThePrint — Gehlot gives gas, power, pension under Mehngai Rahat. Now people wait for cellphones (18 Aug 2023)</t>
  </si>
  <si>
    <t xml:space="preserve">https://theprint.in/ground-reports/gehlot-gives-gas-power-pension-under-mehngai-rahat-now-people-wait-for-cellphones/1719632/</t>
  </si>
  <si>
    <t xml:space="preserve">ka-five-guarantees-2023</t>
  </si>
  <si>
    <t xml:space="preserve">2023-06</t>
  </si>
  <si>
    <t xml:space="preserve">Five guarantees (Karnataka), combined</t>
  </si>
  <si>
    <t xml:space="preserve">Siddaramaiah (Chief Minister, Karnataka (presented the 2026-27 budget), INC)</t>
  </si>
  <si>
    <t xml:space="preserve">Shakti, Anna Bhagya, Gruha Jyothi, Gruha Lakshmi and Yuva Nidhi together</t>
  </si>
  <si>
    <t xml:space="preserve">₹51,286 crore (2026-27), about 12% of spending excluding debt repayment</t>
  </si>
  <si>
    <t xml:space="preserve">CAG (2025): infrastructure spending fell ₹5,229 crore in 2023-24 and the guarantees were partly financed with borrowing.</t>
  </si>
  <si>
    <t xml:space="preserve">hst237; hst238</t>
  </si>
  <si>
    <t xml:space="preserve">https://occult-kranti.github.io/fact-duel/hisaab/#/q/hst237 https://occult-kranti.github.io/fact-duel/hisaab/#/q/hst238</t>
  </si>
  <si>
    <t xml:space="preserve">PRS Legislative Research — Karnataka Budget Analysis 2026-27 (2026)</t>
  </si>
  <si>
    <t xml:space="preserve">https://prsindia.org/budgets/states/karnataka-budget-analysis-2026-27</t>
  </si>
  <si>
    <t xml:space="preserve">ka-shakti-2023</t>
  </si>
  <si>
    <t xml:space="preserve">Shakti free bus travel</t>
  </si>
  <si>
    <t xml:space="preserve">Free rides for women on state-run buses</t>
  </si>
  <si>
    <t xml:space="preserve">Nearly 650 crore tickets; over 1 crore women a day</t>
  </si>
  <si>
    <t xml:space="preserve">₹11,748 crore reimbursed by Dec 2025</t>
  </si>
  <si>
    <t xml:space="preserve">The state still owed the bus corporations ₹4,006 crore in December 2025.</t>
  </si>
  <si>
    <t xml:space="preserve">hdb414</t>
  </si>
  <si>
    <t xml:space="preserve">https://occult-kranti.github.io/fact-duel/hisaab/#/q/hdb414</t>
  </si>
  <si>
    <t xml:space="preserve">The Times of India — Shakti dues: Govt clears Rs 11,748cr, still owes Rs 4,006cr to RTCs (20 Dec 2025)</t>
  </si>
  <si>
    <t xml:space="preserve">https://timesofindia.indiatimes.com/city/bengaluru/shakti-dues-govt-clears-rs-11748cr-still-owes-rs-4006cr-to-rtcs/articleshow/126096209.cms</t>
  </si>
  <si>
    <t xml:space="preserve">mp-ladli-behna-2023</t>
  </si>
  <si>
    <t xml:space="preserve">Ladli Behna Yojana</t>
  </si>
  <si>
    <t xml:space="preserve">Monthly cash for women aged 23–60: ₹1,000 at launch, ₹1,250 before the 2023 poll, ₹1,500 by August 2026</t>
  </si>
  <si>
    <t xml:space="preserve">About 1.25 crore women</t>
  </si>
  <si>
    <t xml:space="preserve">₹23,883 crore (2026-27); ₹1,209.64 crore first transfer</t>
  </si>
  <si>
    <t xml:space="preserve">First paid 160 days before polling; over ₹6,800 crore paid by mid-October. The BJP won 163 of 230.</t>
  </si>
  <si>
    <t xml:space="preserve">hdb232; hst220; hfw009</t>
  </si>
  <si>
    <t xml:space="preserve">https://occult-kranti.github.io/fact-duel/hisaab/#/q/hdb232 https://occult-kranti.github.io/fact-duel/hisaab/#/q/hst220 https://occult-kranti.github.io/fact-duel/hisaab/#/q/hfw009</t>
  </si>
  <si>
    <t xml:space="preserve">The Indian Express — Chouhan keeps 'Ladli Behna' promise, transfers Rs 1,000 to 1.25 cr beneficiaries (10 Jun 2023)</t>
  </si>
  <si>
    <t xml:space="preserve">https://indianexpress.com/article/cities/bhopal/chouhan-keeps-ladli-behna-promise-transfers-rs-1000-to-1-25-cr-beneficiaries-8656399/</t>
  </si>
  <si>
    <t xml:space="preserve">ka-anna-bhagya-cash-2023</t>
  </si>
  <si>
    <t xml:space="preserve">2023-07</t>
  </si>
  <si>
    <t xml:space="preserve">Anna Bhagya: cash in lieu of rice</t>
  </si>
  <si>
    <t xml:space="preserve">₹170 a month per BPL family member in place of 5 kg of extra rice</t>
  </si>
  <si>
    <t xml:space="preserve">Paid after the Centre stopped states buying FCI rice; Karnataka returned to giving rice from February 2025.</t>
  </si>
  <si>
    <t xml:space="preserve">hdb234</t>
  </si>
  <si>
    <t xml:space="preserve">https://occult-kranti.github.io/fact-duel/hisaab/#/q/hdb234</t>
  </si>
  <si>
    <t xml:space="preserve">Times of India — Karnataka to give cash instead of 5 kg additional rice (29 Jun 2023)</t>
  </si>
  <si>
    <t xml:space="preserve">https://timesofindia.indiatimes.com/city/bengaluru/karnataka-to-give-cash-instead-of-5-kg-additional-rice/articleshow/101351348.cms</t>
  </si>
  <si>
    <t xml:space="preserve">rj-minimum-guaranteed-income-2023</t>
  </si>
  <si>
    <t xml:space="preserve">Minimum Guaranteed Income Act</t>
  </si>
  <si>
    <t xml:space="preserve">₹1,000 minimum monthly pension rising 15% a year; 125 days of work per family</t>
  </si>
  <si>
    <t xml:space="preserve">BJP won 115 of 199; Congress 69</t>
  </si>
  <si>
    <t xml:space="preserve">Passed 127 days before polling; the BJP won 115 of 199.</t>
  </si>
  <si>
    <t xml:space="preserve">hpe137</t>
  </si>
  <si>
    <t xml:space="preserve">https://occult-kranti.github.io/fact-duel/hisaab/#/q/hpe137</t>
  </si>
  <si>
    <t xml:space="preserve">The Hindu — Rajasthan Assembly passes Bills on minimum income, higher punishment for paper leaks (22 Jul 2023)</t>
  </si>
  <si>
    <t xml:space="preserve">https://www.thehindu.com/news/national/rajasthan-assembly-passes-bills-on-minimum-income-higher-punishment-for-paper-leaks/article67106940.ece</t>
  </si>
  <si>
    <t xml:space="preserve">ka-gruha-lakshmi-2023</t>
  </si>
  <si>
    <t xml:space="preserve">2023-08</t>
  </si>
  <si>
    <t xml:space="preserve">Gruha Lakshmi</t>
  </si>
  <si>
    <t xml:space="preserve">₹2,000 a month to women heads of families</t>
  </si>
  <si>
    <t xml:space="preserve">1.15 crore at launch</t>
  </si>
  <si>
    <t xml:space="preserve">The fourth of five guarantees to roll out; the CM said no regular schemes were stopped to fund them.</t>
  </si>
  <si>
    <t xml:space="preserve">hdb235</t>
  </si>
  <si>
    <t xml:space="preserve">https://occult-kranti.github.io/fact-duel/hisaab/#/q/hdb235</t>
  </si>
  <si>
    <t xml:space="preserve">The Indian Express — Cong will replicate Karnataka cash scheme for women family heads across country: Rahul Gandhi (30 Aug 2023)</t>
  </si>
  <si>
    <t xml:space="preserve">https://indianexpress.com/article/cities/bangalore/cong-to-replicate-karnatakas-gruha-lakhmi-cash-transfer-scheme-for-women-across-india-rahul-gandhi-8916189/</t>
  </si>
  <si>
    <t xml:space="preserve">mp-kisan-kalyan-topup-2023</t>
  </si>
  <si>
    <t xml:space="preserve">Mukhyamantri Kisan Kalyan Yojana raised to ₹6,000</t>
  </si>
  <si>
    <t xml:space="preserve">State top-up to PM-KISAN raised from ₹4,000 (since 2020) to ₹6,000 a year</t>
  </si>
  <si>
    <t xml:space="preserve">Approved 98 days before polling; the BJP won 163 of 230. No cited study links the top-up to the result.</t>
  </si>
  <si>
    <t xml:space="preserve">hdb415</t>
  </si>
  <si>
    <t xml:space="preserve">https://occult-kranti.github.io/fact-duel/hisaab/#/q/hdb415</t>
  </si>
  <si>
    <t xml:space="preserve">The Times of India — Cabinet approves Mauganj as 53rd district of MP, ₹6k/yr for farmers (12 Aug 2023)</t>
  </si>
  <si>
    <t xml:space="preserve">https://timesofindia.indiatimes.com/city/bhopal/cabinet-approves-mauganj-as-53rd-district-of-mp-6k/yr-for-farmers/articleshow/102665688.cms</t>
  </si>
  <si>
    <t xml:space="preserve">rj-indira-smartphone-2023</t>
  </si>
  <si>
    <t xml:space="preserve">Indira Gandhi Smartphone Yojana</t>
  </si>
  <si>
    <t xml:space="preserve">Free smartphones with data for women</t>
  </si>
  <si>
    <t xml:space="preserve">24.56 lakh phones by 9 Oct 2023</t>
  </si>
  <si>
    <t xml:space="preserve">₹1,670.08 crore</t>
  </si>
  <si>
    <t xml:space="preserve">Halted by the model code; the BJP won 115 of 199 and put the scheme on hold in January 2024.</t>
  </si>
  <si>
    <t xml:space="preserve">hdb130</t>
  </si>
  <si>
    <t xml:space="preserve">https://occult-kranti.github.io/fact-duel/hisaab/#/q/hdb130</t>
  </si>
  <si>
    <t xml:space="preserve">The Indian Express — Rajasthan puts Gehlot’s free smartphone scheme on hold (24 Jan 2024)</t>
  </si>
  <si>
    <t xml:space="preserve">https://indianexpress.com/article/cities/jaipur/rajasthan-puts-gehlots-free-smartphone-scheme-on-hold-9124729/</t>
  </si>
  <si>
    <t xml:space="preserve">tg-loan-waiver-release-2023</t>
  </si>
  <si>
    <t xml:space="preserve">Crop-loan waiver completed before the 2023 poll</t>
  </si>
  <si>
    <t xml:space="preserve">K. Chandrasekhar Rao (Chief Minister, Telangana, BRS)</t>
  </si>
  <si>
    <t xml:space="preserve">Release to banks to finish the 2018 promise of a waiver up to ₹1 lakh</t>
  </si>
  <si>
    <t xml:space="preserve">₹19,000 crore</t>
  </si>
  <si>
    <t xml:space="preserve">Telangana Assembly 2023</t>
  </si>
  <si>
    <t xml:space="preserve">Congress won 64 of 119; BRS 39; BJP 8</t>
  </si>
  <si>
    <t xml:space="preserve">Payments resumed 120 days before polling; the Congress won 64 of 119, ending ten years of BRS rule.</t>
  </si>
  <si>
    <t xml:space="preserve">hpe139</t>
  </si>
  <si>
    <t xml:space="preserve">https://occult-kranti.github.io/fact-duel/hisaab/#/q/hpe139</t>
  </si>
  <si>
    <t xml:space="preserve">The Indian Express — KCR clears 2018 farm loan waiver promise just before polls; Cong, BJP cry foul (3 Aug 2023)</t>
  </si>
  <si>
    <t xml:space="preserve">https://indianexpress.com/article/political-pulse/kcr-2018-farm-loan-waiver-promise-polls-bjp-cry-foul-8874277/</t>
  </si>
  <si>
    <t xml:space="preserve">up-kanya-sumangala-2023</t>
  </si>
  <si>
    <t xml:space="preserve">Kanya Sumangala Yojana raised to ₹25,000</t>
  </si>
  <si>
    <t xml:space="preserve">Six-stage payments from birth to college raised from ₹15,000 to ₹25,000 in all</t>
  </si>
  <si>
    <t xml:space="preserve">About 16.24 lakh girls enrolled</t>
  </si>
  <si>
    <t xml:space="preserve">From 2024-25; ₹5.82 crore went to 29,523 beneficiaries at the announcement event.</t>
  </si>
  <si>
    <t xml:space="preserve">hdb132</t>
  </si>
  <si>
    <t xml:space="preserve">https://occult-kranti.github.io/fact-duel/hisaab/#/q/hdb132</t>
  </si>
  <si>
    <t xml:space="preserve">The Indian Express — Mukhyamantri Kanya Sumangla Yojana: Underprivileged girls to get Rs 10,000 more (31 Aug 2023)</t>
  </si>
  <si>
    <t xml:space="preserve">https://indianexpress.com/article/cities/lucknow/mukhyamantri-kanya-sumangla-yojana-rakhi-gift-underprivileged-girls-to-get-rs-10000-more-8917022/</t>
  </si>
  <si>
    <t xml:space="preserve">in-pm-vishwakarma-2023</t>
  </si>
  <si>
    <t xml:space="preserve">2023-09</t>
  </si>
  <si>
    <t xml:space="preserve">PM Vishwakarma</t>
  </si>
  <si>
    <t xml:space="preserve">Training stipend, toolkits up to ₹15,000 and collateral-free loans up to ₹3 lakh for artisans in 18 trades</t>
  </si>
  <si>
    <t xml:space="preserve">30 lakh registrations; 18.16 lakh toolkits by Sept 2026</t>
  </si>
  <si>
    <t xml:space="preserve">₹13,000 crore (2023-24 to 2027-28)</t>
  </si>
  <si>
    <t xml:space="preserve">6.19 lakh loans worth about ₹5,316 crore sanctioned by September 2026 (PIB).</t>
  </si>
  <si>
    <t xml:space="preserve">hdb037</t>
  </si>
  <si>
    <t xml:space="preserve">https://occult-kranti.github.io/fact-duel/hisaab/#/q/hdb037</t>
  </si>
  <si>
    <t xml:space="preserve">PIB Backgrounder — PM Vishwakarma nears three years (Sep 2026)</t>
  </si>
  <si>
    <t xml:space="preserve">https://pib.gov.in/PressNoteDetails.aspx?NoteId=159998&amp;ModuleId=3&amp;reg=3&amp;lang=1</t>
  </si>
  <si>
    <t xml:space="preserve">in-womens-reservation-2023</t>
  </si>
  <si>
    <t xml:space="preserve">Women’s reservation law</t>
  </si>
  <si>
    <t xml:space="preserve">Arjun Ram Meghwal (Union Law Minister, BJP)</t>
  </si>
  <si>
    <t xml:space="preserve">One-third of Lok Sabha and Assembly seats reserved for women, after the next census and delimitation</t>
  </si>
  <si>
    <t xml:space="preserve">Assembly polls in 5 states, Nov 2023</t>
  </si>
  <si>
    <t xml:space="preserve">BJP won Madhya Pradesh, Rajasthan and Chhattisgarh; Congress won Telangana</t>
  </si>
  <si>
    <t xml:space="preserve">Passed 454–2 and 214–0; not yet in force, as a 2026 follow-up amendment fell short of two-thirds.</t>
  </si>
  <si>
    <t xml:space="preserve">hpe036</t>
  </si>
  <si>
    <t xml:space="preserve">https://occult-kranti.github.io/fact-duel/hisaab/#/q/hpe036</t>
  </si>
  <si>
    <t xml:space="preserve">ETLegalWorld — Rajya Sabha passes Women Reservation Bill (21 Sep 2023)</t>
  </si>
  <si>
    <t xml:space="preserve">https://legal.economictimes.indiatimes.com/news/law-policy/womens-reservation-bill-passed-with-215-0-majority-in-rajya-sabha/103845840</t>
  </si>
  <si>
    <t xml:space="preserve">tn-kalaignar-magalir-urimai-2023</t>
  </si>
  <si>
    <t xml:space="preserve">Kalaignar Magalir Urimai Thogai</t>
  </si>
  <si>
    <t xml:space="preserve">₹1,000 a month to women heads of families</t>
  </si>
  <si>
    <t xml:space="preserve">1.06 crore at launch; about 1.31 crore by 2026</t>
  </si>
  <si>
    <t xml:space="preserve">₹12,000 crore a year</t>
  </si>
  <si>
    <t xml:space="preserve">The DMK lost the April 2026 poll: the TVK won 108 of 234 and the DMK 59.</t>
  </si>
  <si>
    <t xml:space="preserve">hdb237</t>
  </si>
  <si>
    <t xml:space="preserve">https://occult-kranti.github.io/fact-duel/hisaab/#/q/hdb237</t>
  </si>
  <si>
    <t xml:space="preserve">The New Indian Express — TN CM Stalin launches first-of-its-kind scheme for women (15 Sep 2023)</t>
  </si>
  <si>
    <t xml:space="preserve">https://www.newindianexpress.com/states/tamil-nadu/2023/Sep/15/tn-cm-stalin-launches-first-of-its-kind-scheme-for-women-2615143.html</t>
  </si>
  <si>
    <t xml:space="preserve">in-ujjwala-subsidy-300-2023</t>
  </si>
  <si>
    <t xml:space="preserve">2023-10</t>
  </si>
  <si>
    <t xml:space="preserve">Ujjwala LPG subsidy raised to ₹300</t>
  </si>
  <si>
    <t xml:space="preserve">Anurag Singh Thakur (Union I&amp;B Minister (announced the Cabinet decision), BJP)</t>
  </si>
  <si>
    <t xml:space="preserve">Targeted subsidy per cylinder for Ujjwala homes raised from ₹200 to ₹300</t>
  </si>
  <si>
    <t xml:space="preserve">About ₹12,000 crore (2024-25 extension)</t>
  </si>
  <si>
    <t xml:space="preserve">BJP won MP, Rajasthan and Chhattisgarh; INC won Telangana</t>
  </si>
  <si>
    <t xml:space="preserve">Announced five days before the ECI set five state polls; the BJP won three of four states counted. No cited causal link.</t>
  </si>
  <si>
    <t xml:space="preserve">hdb036</t>
  </si>
  <si>
    <t xml:space="preserve">https://occult-kranti.github.io/fact-duel/hisaab/#/q/hdb036</t>
  </si>
  <si>
    <t xml:space="preserve">All India Radio News — Cabinet raises LPG subsidy per cylinder by ₹100 for Ujjwala beneficiaries (4 Oct 2023)</t>
  </si>
  <si>
    <t xml:space="preserve">https://newsonair.gov.in/union-cabinet-approves-govts-decision-to-increase-lpg-subsidy-per-cylinder-by-rs-100-for-ujjwala-yojana-beneficiaries-ib-minister-anurag-singh-thakur/</t>
  </si>
  <si>
    <t xml:space="preserve">mh-namo-shetkari-2023</t>
  </si>
  <si>
    <t xml:space="preserve">Namo Shetkari Mahasanman Nidhi</t>
  </si>
  <si>
    <t xml:space="preserve">₹6,000 a year on top of PM-KISAN for the state’s farmers</t>
  </si>
  <si>
    <t xml:space="preserve">More than 86 lakh farmers</t>
  </si>
  <si>
    <t xml:space="preserve">About ₹2,000 crore per instalment</t>
  </si>
  <si>
    <t xml:space="preserve">Maharashtra Assembly 2024</t>
  </si>
  <si>
    <t xml:space="preserve">2024-11</t>
  </si>
  <si>
    <t xml:space="preserve">Mahayuti 235 of 288 with allies (BJP 132, Shiv Sena 57, NCP 41); MVA 49</t>
  </si>
  <si>
    <t xml:space="preserve">The 5th instalment went out 46 days before the 2024 poll; the Mahayuti won 235 of 288. No cited study links it to the result.</t>
  </si>
  <si>
    <t xml:space="preserve">hdb420</t>
  </si>
  <si>
    <t xml:space="preserve">https://occult-kranti.github.io/fact-duel/hisaab/#/q/hdb420</t>
  </si>
  <si>
    <t xml:space="preserve">PM India — PM lays foundation stone and dedicates to nation multiple development projects worth about Rs 7500 crores in Shirdi, Maharashtra (26 Oct 2023)</t>
  </si>
  <si>
    <t xml:space="preserve">https://www.pmindia.gov.in/en/news_updates/pm-lays-foundation-stone-and-dedicates-to-nation-multiple-development-projects-worth-about-rs-7500-crores-in-shirdi-maharashtra/</t>
  </si>
  <si>
    <t xml:space="preserve">ml-cm-elevate-2023</t>
  </si>
  <si>
    <t xml:space="preserve">CM-Elevate</t>
  </si>
  <si>
    <t xml:space="preserve">Conrad K. Sangma (Chief Minister, Meghalaya, NPP)</t>
  </si>
  <si>
    <t xml:space="preserve">Up to 75% of a young entrepreneur’s venture cost as grant or subsidy</t>
  </si>
  <si>
    <t xml:space="preserve">20,000 beneficiaries targeted</t>
  </si>
  <si>
    <t xml:space="preserve">₹300 crore over five years</t>
  </si>
  <si>
    <t xml:space="preserve">The first cheques went to about 40 beneficiaries in February 2024.</t>
  </si>
  <si>
    <t xml:space="preserve">hdb333</t>
  </si>
  <si>
    <t xml:space="preserve">https://occult-kranti.github.io/fact-duel/hisaab/#/q/hdb333</t>
  </si>
  <si>
    <t xml:space="preserve">The Economic Times — Meghalaya CM launches 'CM Elevate' program to address youth unemployment (17 Oct 2023)</t>
  </si>
  <si>
    <t xml:space="preserve">https://m.economictimes.com/jobs/government-jobs/meghalaya-cm-launches-cm-elevate-program-to-address-youth-unemployment/articleshow/104502176.cms</t>
  </si>
  <si>
    <t xml:space="preserve">sk-glof-sdrf-advance-2023</t>
  </si>
  <si>
    <t xml:space="preserve">Sikkim GLOF: SDRF advance</t>
  </si>
  <si>
    <t xml:space="preserve">Amit Shah (Union Home Minister, BJP)</t>
  </si>
  <si>
    <t xml:space="preserve">₹44.8 crore advance from the central share of Sikkim’s disaster fund</t>
  </si>
  <si>
    <t xml:space="preserve">A ₹555.27 crore recovery plan followed; West Bengal’s CM called the aid discrimination against north Bengal.</t>
  </si>
  <si>
    <t xml:space="preserve">hrf221</t>
  </si>
  <si>
    <t xml:space="preserve">https://occult-kranti.github.io/fact-duel/hisaab/#/q/hrf221</t>
  </si>
  <si>
    <t xml:space="preserve">Hindustan Times — Central assistance for flood-hit Sikkim triggers political slugfest in Bengal (8 Oct 2023)</t>
  </si>
  <si>
    <t xml:space="preserve">https://www.hindustantimes.com/india-news/central-assistance-for-flood-hit-sikkim-triggers-political-slugfest-in-bengal-101696766782401.html</t>
  </si>
  <si>
    <t xml:space="preserve">ct-krishak-unnati-2023</t>
  </si>
  <si>
    <t xml:space="preserve">Krishak Unnati Yojana (paddy at ₹3,100)</t>
  </si>
  <si>
    <t xml:space="preserve">Amit Shah (Union Home Minister (released the promise in the BJP manifesto), BJP); O.P. Choudhary (Finance Minister, Chhattisgarh (2026-27 budget), BJP)</t>
  </si>
  <si>
    <t xml:space="preserve">Paddy bought at ₹3,100 a quintal, 21 quintals an acre, paid in one go</t>
  </si>
  <si>
    <t xml:space="preserve">Promised four days before polling; the BJP won 54 of 90. With Mahtari Vandan and power subsidy it takes about 17% of 2026-27 revenue receipts (PRS).</t>
  </si>
  <si>
    <t xml:space="preserve">hpe138; hst232</t>
  </si>
  <si>
    <t xml:space="preserve">https://occult-kranti.github.io/fact-duel/hisaab/#/q/hpe138 https://occult-kranti.github.io/fact-duel/hisaab/#/q/hst232</t>
  </si>
  <si>
    <t xml:space="preserve">The Hindu — BJP Chhattisgarh manifesto promises Ayodhya pilgrimage, financial assistance for women et al (3 Nov 2023)</t>
  </si>
  <si>
    <t xml:space="preserve">https://www.thehindu.com/elections/chhattisgarh-assembly/chhattisgarh-polls-bjp-promises-sops-for-married-women-landless-farm-labourers-lpg-cylinder-at-500/article67493270.ece</t>
  </si>
  <si>
    <t xml:space="preserve">in-pmgkay-five-year-2023</t>
  </si>
  <si>
    <t xml:space="preserve">Free grain for five more years (PMGKAY)</t>
  </si>
  <si>
    <t xml:space="preserve">NFSA grain free for five years from January 2024; 35 kg a month for Antyodaya homes</t>
  </si>
  <si>
    <t xml:space="preserve">About 81.35 crore people</t>
  </si>
  <si>
    <t xml:space="preserve">About ₹11.80 lakh crore over five years</t>
  </si>
  <si>
    <t xml:space="preserve">Chhattisgarh Assembly 2023</t>
  </si>
  <si>
    <t xml:space="preserve">BJP won 54 of 90 seats; INC 35</t>
  </si>
  <si>
    <t xml:space="preserve">Announced at a Durg rally three days before polling; the Congress called it a code breach. The BJP won Chhattisgarh and MP.</t>
  </si>
  <si>
    <t xml:space="preserve">hdb035; hsc019; hsc020</t>
  </si>
  <si>
    <t xml:space="preserve">https://occult-kranti.github.io/fact-duel/hisaab/#/q/hdb035 https://occult-kranti.github.io/fact-duel/hisaab/#/q/hsc019 https://occult-kranti.github.io/fact-duel/hisaab/#/q/hsc020</t>
  </si>
  <si>
    <t xml:space="preserve">Hindustan Times — Free-ration scheme will be extended for next 5 years: PM Modi in poll-bound Chhattisgarh, MP (4 Nov 2023)</t>
  </si>
  <si>
    <t xml:space="preserve">https://www.hindustantimes.com/india-news/freeration-scheme-will-be-extended-for-next-5-years-pm-modi-in-poll-bound-chhattisgarh-madhya-pradesh-101699099169144.html</t>
  </si>
  <si>
    <t xml:space="preserve">tg-rythu-bandhu-rabi-2023</t>
  </si>
  <si>
    <t xml:space="preserve">Rythu Bandhu rabi instalment halted by ECI</t>
  </si>
  <si>
    <t xml:space="preserve">The rabi Rythu Bandhu instalment, allowed on condition it was not publicised</t>
  </si>
  <si>
    <t xml:space="preserve">Congress won 64 of 119 seats; BRS 39</t>
  </si>
  <si>
    <t xml:space="preserve">The ECI withdrew permission three days before polling, saying a minister publicised it; the Congress won 64 of 119.</t>
  </si>
  <si>
    <t xml:space="preserve">hdb236</t>
  </si>
  <si>
    <t xml:space="preserve">https://occult-kranti.github.io/fact-duel/hisaab/#/q/hdb236</t>
  </si>
  <si>
    <t xml:space="preserve">Times of India — Congress attacks BRS over EC's withdrawal of permission for giving aid to Telangana farmers (27 Nov 2023)</t>
  </si>
  <si>
    <t xml:space="preserve">https://timesofindia.indiatimes.com/india/congress-attacks-brs-over-ecs-withdrawal-of-permission-for-giving-aid-to-telangana-farmers/articleshow/105530026.cms</t>
  </si>
  <si>
    <t xml:space="preserve">tg-mahalakshmi-bus-2023</t>
  </si>
  <si>
    <t xml:space="preserve">2023-12</t>
  </si>
  <si>
    <t xml:space="preserve">Mahalakshmi free bus travel</t>
  </si>
  <si>
    <t xml:space="preserve">Bhatti Vikramarka Mallu (Deputy Chief Minister and Finance Minister, Telangana, INC)</t>
  </si>
  <si>
    <t xml:space="preserve">Free bus travel for women</t>
  </si>
  <si>
    <t xml:space="preserve">Over 290 crore zero-fare trips by April 2026</t>
  </si>
  <si>
    <t xml:space="preserve">₹3,083 crore (2024-25)</t>
  </si>
  <si>
    <t xml:space="preserve">TGSRTC said women had saved about ₹10,000 crore in fares in 28 months.</t>
  </si>
  <si>
    <t xml:space="preserve">hdb416</t>
  </si>
  <si>
    <t xml:space="preserve">https://occult-kranti.github.io/fact-duel/hisaab/#/q/hdb416</t>
  </si>
  <si>
    <t xml:space="preserve">PRS Legislative Research — Telangana Budget Analysis 2024-25</t>
  </si>
  <si>
    <t xml:space="preserve">https://prsindia.org/budgets/states/telangana-budget-analysis-2024-25</t>
  </si>
  <si>
    <t xml:space="preserve">tg-six-guarantees-2023</t>
  </si>
  <si>
    <t xml:space="preserve">Six guarantees (Telangana), combined</t>
  </si>
  <si>
    <t xml:space="preserve">Bhatti Vikramarka Mallu (Deputy CM, Telangana (presented the 2026-27 budget), INC)</t>
  </si>
  <si>
    <t xml:space="preserve">Rythu Bharosa, Cheyutha pensions, Indiramma houses, Mahalakshmi and more, promised before the 2023 poll</t>
  </si>
  <si>
    <t xml:space="preserve">₹50,713 crore (2026-27), 21% of revenue receipts</t>
  </si>
  <si>
    <t xml:space="preserve">The Congress won 64 of 119 on the pledge; free bus travel began on 9 December 2023.</t>
  </si>
  <si>
    <t xml:space="preserve">hst265; hpe140</t>
  </si>
  <si>
    <t xml:space="preserve">https://occult-kranti.github.io/fact-duel/hisaab/#/q/hst265 https://occult-kranti.github.io/fact-duel/hisaab/#/q/hpe140</t>
  </si>
  <si>
    <t xml:space="preserve">PRS Legislative Research — Telangana Budget Analysis 2026-27 (2026)</t>
  </si>
  <si>
    <t xml:space="preserve">https://prsindia.org/budgets/states/telangana-budget-analysis-2026-27</t>
  </si>
  <si>
    <t xml:space="preserve">tn-cyclone-michaung-2023</t>
  </si>
  <si>
    <t xml:space="preserve">Cyclone Michaung ₹6,000 relief</t>
  </si>
  <si>
    <t xml:space="preserve">₹6,000 cash per family, handed out at ration shops</t>
  </si>
  <si>
    <t xml:space="preserve">24.25 lakh card holders</t>
  </si>
  <si>
    <t xml:space="preserve">₹1,486.94 crore</t>
  </si>
  <si>
    <t xml:space="preserve">The state sought ₹37,907 crore; in April 2024 the Centre released ₹276.10 crore after adjusting the SDRF balance.</t>
  </si>
  <si>
    <t xml:space="preserve">hrf132</t>
  </si>
  <si>
    <t xml:space="preserve">https://occult-kranti.github.io/fact-duel/hisaab/#/q/hrf132</t>
  </si>
  <si>
    <t xml:space="preserve">The New Indian Express — 5.67 lakh families apply for Rs 6,000 Michaung relief in TN (22 Dec 2023)</t>
  </si>
  <si>
    <t xml:space="preserve">https://www.newindianexpress.com/states/tamil-nadu/2023/Dec/22/567-lakh-families-applyfor-rs-6000-michaungrelief-in-tn-92-receive-aid-2643834.html</t>
  </si>
  <si>
    <t xml:space="preserve">gj-namo-lakshmi-2024</t>
  </si>
  <si>
    <t xml:space="preserve">2024</t>
  </si>
  <si>
    <t xml:space="preserve">Namo Lakshmi Yojana</t>
  </si>
  <si>
    <t xml:space="preserve">₹50,000 over Classes 9–12 for girls from families earning under ₹6 lakh</t>
  </si>
  <si>
    <t xml:space="preserve">Over 10 lakh girl students</t>
  </si>
  <si>
    <t xml:space="preserve">₹924 crore disbursed by July 2025</t>
  </si>
  <si>
    <t xml:space="preserve">₹924 crore reached over 10 lakh girls by July 2025 (state figure).</t>
  </si>
  <si>
    <t xml:space="preserve">hst204</t>
  </si>
  <si>
    <t xml:space="preserve">https://occult-kranti.github.io/fact-duel/hisaab/#/q/hst204</t>
  </si>
  <si>
    <t xml:space="preserve">The Hindu — Gujarat’s ‘Namo Lakshmi Yojana’ disburses ₹924 crore, benefits over 10 lakh girl students (11 Jul 2025)</t>
  </si>
  <si>
    <t xml:space="preserve">https://www.thehindu.com/news/national/gujarat/gujarats-namo-lakshmi-yojana-disburses-924-crore-benefits-over-10-lakh-girl-students/article69796544.ece</t>
  </si>
  <si>
    <t xml:space="preserve">ap-button-press-dbt-2024</t>
  </si>
  <si>
    <t xml:space="preserve">2024-01</t>
  </si>
  <si>
    <t xml:space="preserve">Pre-poll DBT "button-press" releases (Andhra Pradesh)</t>
  </si>
  <si>
    <t xml:space="preserve">Y.S. Jagan Mohan Reddy (Chief Minister, Andhra Pradesh (announced the releases), YSRCP)</t>
  </si>
  <si>
    <t xml:space="preserve">Transfers under six DBT schemes announced at January–March events, largest ₹6,394 crore under YSR Asara</t>
  </si>
  <si>
    <t xml:space="preserve">₹14,165.66 crore not yet credited when the ECI intervened</t>
  </si>
  <si>
    <t xml:space="preserve">Andhra Pradesh Assembly 2024</t>
  </si>
  <si>
    <t xml:space="preserve">2024-05</t>
  </si>
  <si>
    <t xml:space="preserve">TDP 135, Jana Sena 21, BJP 8 of 175; YSRCP 11</t>
  </si>
  <si>
    <t xml:space="preserve">The ECI told the state to hold credits until after the 13 May poll; the YSRCP fell from 151 to 11 seats.</t>
  </si>
  <si>
    <t xml:space="preserve">hpe141</t>
  </si>
  <si>
    <t xml:space="preserve">https://occult-kranti.github.io/fact-duel/hisaab/#/q/hpe141</t>
  </si>
  <si>
    <t xml:space="preserve">Hindustan Times — Don’t disburse ₹14,000cr among beneficiaries before polling: ECI tells Andhra CM (9 May 2024)</t>
  </si>
  <si>
    <t xml:space="preserve">https://www.hindustantimes.com/india-news/dont-disburse-14-000cr-among-beneficiaries-before-polling-eci-tells-andhra-cm-101715253041498.html</t>
  </si>
  <si>
    <t xml:space="preserve">br-laghu-udyami-2024</t>
  </si>
  <si>
    <t xml:space="preserve">Bihar Laghu Udyami Yojana</t>
  </si>
  <si>
    <t xml:space="preserve">Nitish Kumar (Chief Minister, Bihar, JD(U)); Tejashwi Yadav (Deputy Chief Minister, Bihar (cabinet that sanctioned it), RJD)</t>
  </si>
  <si>
    <t xml:space="preserve">Up to ₹2 lakh over five years to one member of each family earning under ₹6,000 a month</t>
  </si>
  <si>
    <t xml:space="preserve">94 lakh families eligible; 7.75 lakh applications to it and a sister scheme (2023-25)</t>
  </si>
  <si>
    <t xml:space="preserve">Lok Sabha 2024 (Bihar)</t>
  </si>
  <si>
    <t xml:space="preserve">2024-04</t>
  </si>
  <si>
    <t xml:space="preserve">NDA won 30 of 40 seats in Bihar</t>
  </si>
  <si>
    <t xml:space="preserve">Sanctioned by the JD(U)–RJD cabinet; Nitish rejoined the NDA 12 days later. The NDA won 30 of Bihar’s 40 Lok Sabha seats; no study links the two.</t>
  </si>
  <si>
    <t xml:space="preserve">hpe219; hdb418</t>
  </si>
  <si>
    <t xml:space="preserve">https://occult-kranti.github.io/fact-duel/hisaab/#/q/hpe219 https://occult-kranti.github.io/fact-duel/hisaab/#/q/hdb418</t>
  </si>
  <si>
    <t xml:space="preserve">The Indian Express — Polls ahead, Bihar plans Rs 2 lakh over 5 years to 94 lakh poor families (17 Jan 2024)</t>
  </si>
  <si>
    <t xml:space="preserve">https://indianexpress.com/article/political-pulse/polls-bihar-rs-2-lakh-5-yrs-94-lakh-poor-families-9114191/</t>
  </si>
  <si>
    <t xml:space="preserve">hr-old-age-allowance-2024</t>
  </si>
  <si>
    <t xml:space="preserve">Old Age Samman Allowance raised to ₹3,000</t>
  </si>
  <si>
    <t xml:space="preserve">Old-age pension raised to ₹3,000 a month</t>
  </si>
  <si>
    <t xml:space="preserve">About 17.85 lakh pensioners</t>
  </si>
  <si>
    <t xml:space="preserve">₹5,538 crore (2023-24)</t>
  </si>
  <si>
    <t xml:space="preserve">Haryana Assembly 2024</t>
  </si>
  <si>
    <t xml:space="preserve">2024-10</t>
  </si>
  <si>
    <t xml:space="preserve">BJP won 48 of 90 seats; Congress 37</t>
  </si>
  <si>
    <t xml:space="preserve">Rivals promised ₹5,100–₹7,500; the BJP won 48 of 90 and raised it to ₹3,200 from November 2025.</t>
  </si>
  <si>
    <t xml:space="preserve">hdb133</t>
  </si>
  <si>
    <t xml:space="preserve">https://occult-kranti.github.io/fact-duel/hisaab/#/q/hdb133</t>
  </si>
  <si>
    <t xml:space="preserve">The Times of India — Handful, still handy: Why Haryana parties love wooing the old (22 Aug 2024)</t>
  </si>
  <si>
    <t xml:space="preserve">https://timesofindia.indiatimes.com/city/chandigarh/handful-still-handy-why-haryana-parties-love-wooing-the-old/articleshow/112710215.cms</t>
  </si>
  <si>
    <t xml:space="preserve">rj-lpg-450-2024</t>
  </si>
  <si>
    <t xml:space="preserve">LPG at ₹450 for Ujjwala homes (Rajasthan)</t>
  </si>
  <si>
    <t xml:space="preserve">Bhajan Lal Sharma (Chief Minister, Rajasthan, BJP)</t>
  </si>
  <si>
    <t xml:space="preserve">LPG at ₹450 a cylinder for up to 12 cylinders a year (the previous government’s cap was ₹500)</t>
  </si>
  <si>
    <t xml:space="preserve">About 76 lakh BPL families</t>
  </si>
  <si>
    <t xml:space="preserve">A BJP manifesto promise, ₹50 below the Congress government’s ₹500 cylinder.</t>
  </si>
  <si>
    <t xml:space="preserve">hdb131</t>
  </si>
  <si>
    <t xml:space="preserve">https://occult-kranti.github.io/fact-duel/hisaab/#/q/hdb131</t>
  </si>
  <si>
    <t xml:space="preserve">The Hindu — Rajasthan announces Ujjwala Yojana’s LPG cylinder supply at ₹450 (28 Dec 2023)</t>
  </si>
  <si>
    <t xml:space="preserve">https://www.thehindu.com/news/national/other-states/rajasthan-announces-ujjwala-yojanas-lpg-cylinder-supply-at-450/article67680668.ece</t>
  </si>
  <si>
    <t xml:space="preserve">gj-namo-shri-2024</t>
  </si>
  <si>
    <t xml:space="preserve">2024-02</t>
  </si>
  <si>
    <t xml:space="preserve">Namo Shri maternity aid</t>
  </si>
  <si>
    <t xml:space="preserve">Kanu Desai (Finance Minister, Gujarat (2024-25 budget), BJP)</t>
  </si>
  <si>
    <t xml:space="preserve">₹12,000 for pregnant women in 11 categories</t>
  </si>
  <si>
    <t xml:space="preserve">₹750 crore (2024-25 budget)</t>
  </si>
  <si>
    <t xml:space="preserve">Lok Sabha 2024 (Gujarat)</t>
  </si>
  <si>
    <t xml:space="preserve">BJP won 25 of 26 seats; Congress 1</t>
  </si>
  <si>
    <t xml:space="preserve">Its orders were dated the day the Model Code took effect; the BJP won 25 of Gujarat’s 26 Lok Sabha seats.</t>
  </si>
  <si>
    <t xml:space="preserve">hdb239</t>
  </si>
  <si>
    <t xml:space="preserve">https://occult-kranti.github.io/fact-duel/hisaab/#/q/hdb239</t>
  </si>
  <si>
    <t xml:space="preserve">Times of India — Gujarat govt announces scheme for women with 'very high risk' pregnancies (23 Mar 2024)</t>
  </si>
  <si>
    <t xml:space="preserve">https://timesofindia.indiatimes.com/city/ahmedabad/govt-announces-scheme-for-women-with-very-high-risk-pregnancies/articleshow/108719904.cms</t>
  </si>
  <si>
    <t xml:space="preserve">in-lakhpati-didi-2024</t>
  </si>
  <si>
    <t xml:space="preserve">Lakhpati Didi target raised</t>
  </si>
  <si>
    <t xml:space="preserve">Target for SHG women earning ₹1 lakh a year raised from 2 crore to 3 crore; Ayushman cover for ASHA and anganwadi workers</t>
  </si>
  <si>
    <t xml:space="preserve">Lok Sabha 2024</t>
  </si>
  <si>
    <t xml:space="preserve">BJP won 240 of 543 seats; NDA 293</t>
  </si>
  <si>
    <t xml:space="preserve">3.01 crore women crossed the mark by February 2026 and the target was doubled; the BJP won 240 of 543 in 2024.</t>
  </si>
  <si>
    <t xml:space="preserve">hpe220</t>
  </si>
  <si>
    <t xml:space="preserve">https://occult-kranti.github.io/fact-duel/hisaab/#/q/hpe220</t>
  </si>
  <si>
    <t xml:space="preserve">indiabudget.gov.in — Interim Budget 2024-25, Budget Speech (1 Feb 2024)</t>
  </si>
  <si>
    <t xml:space="preserve">https://www.indiabudget.gov.in/budget2024-25(I)/doc/Budget_Speech.pdf</t>
  </si>
  <si>
    <t xml:space="preserve">in-pm-kisan-16th-2024</t>
  </si>
  <si>
    <t xml:space="preserve">PM-KISAN 16th instalment (Yavatmal)</t>
  </si>
  <si>
    <t xml:space="preserve">An instalment to each eligible farmer family, plus Maharashtra’s Namo Shetkari top-up</t>
  </si>
  <si>
    <t xml:space="preserve">About ₹21,000 crore; about ₹3,800 crore Namo Shetkari</t>
  </si>
  <si>
    <t xml:space="preserve">Released 51 days before Lok Sabha polling; the BJP won 240 of 543 and the NDA 293.</t>
  </si>
  <si>
    <t xml:space="preserve">hpe221</t>
  </si>
  <si>
    <t xml:space="preserve">https://occult-kranti.github.io/fact-duel/hisaab/#/q/hpe221</t>
  </si>
  <si>
    <t xml:space="preserve">PM India — PM inaugurates projects worth more than Rs 4,900 crores in Yavatmal, Maharashtra (28 Feb 2024)</t>
  </si>
  <si>
    <t xml:space="preserve">https://www.pmindia.gov.in/en/news_updates/pm-inaugurates-and-dedicates-to-nation-multiple-development-projects-worth-more-than-rs-4900-crores-in-yavatmal-maharashtra/</t>
  </si>
  <si>
    <t xml:space="preserve">in-pm-surya-ghar-2024</t>
  </si>
  <si>
    <t xml:space="preserve">PM Surya Ghar: Muft Bijli Yojana</t>
  </si>
  <si>
    <t xml:space="preserve">Narendra Modi (Prime Minister (launched it; chaired the Cabinet that approved it), BJP)</t>
  </si>
  <si>
    <t xml:space="preserve">Rooftop solar subsidy of ₹30,000–₹78,000 for up to 300 free units a month</t>
  </si>
  <si>
    <t xml:space="preserve">1 crore homes targeted</t>
  </si>
  <si>
    <t xml:space="preserve">₹75,021 crore</t>
  </si>
  <si>
    <t xml:space="preserve">Approved 50 days before Lok Sabha polling; the BJP won 240 of 543 seats and the NDA 293.</t>
  </si>
  <si>
    <t xml:space="preserve">hsc054</t>
  </si>
  <si>
    <t xml:space="preserve">https://occult-kranti.github.io/fact-duel/hisaab/#/q/hsc054</t>
  </si>
  <si>
    <t xml:space="preserve">PMO — Cabinet approves PM-Surya Ghar: Muft Bijli Yojana (29 Feb 2024)</t>
  </si>
  <si>
    <t xml:space="preserve">https://www.pmindia.gov.in/en/news_updates/cabinet-approves-pm-surya-ghar-muft-bijli-yojana-for-installing-rooftop-solar-in-one-crore-households/</t>
  </si>
  <si>
    <t xml:space="preserve">od-madhu-babu-pension-hike-2024</t>
  </si>
  <si>
    <t xml:space="preserve">Madhu Babu pension raised by ₹500</t>
  </si>
  <si>
    <t xml:space="preserve">Social-security pension raised to ₹1,000–₹1,400 a month by age and disability</t>
  </si>
  <si>
    <t xml:space="preserve">36.75 lakh people</t>
  </si>
  <si>
    <t xml:space="preserve">₹3,683 crore a year (up from ₹2,685 crore)</t>
  </si>
  <si>
    <t xml:space="preserve">Odisha Assembly 2024</t>
  </si>
  <si>
    <t xml:space="preserve">BJP won 78 of 147 seats; BJD 51</t>
  </si>
  <si>
    <t xml:space="preserve">Paid 93 days before polling; the BJD lost power (BJP 78, BJD 51 of 147).</t>
  </si>
  <si>
    <t xml:space="preserve">hdb317</t>
  </si>
  <si>
    <t xml:space="preserve">https://occult-kranti.github.io/fact-duel/hisaab/#/q/hdb317</t>
  </si>
  <si>
    <t xml:space="preserve">Business Standard (PTI) — Odisha CM raises pension for beneficiaries under social security schemes (10 Feb 2024)</t>
  </si>
  <si>
    <t xml:space="preserve">https://www.business-standard.com/finance/personal-finance/odisha-cm-raises-pension-for-beneficiaries-under-social-security-schemes-124021000951_1.html</t>
  </si>
  <si>
    <t xml:space="preserve">wb-lakshmir-bhandar-hike-2024</t>
  </si>
  <si>
    <t xml:space="preserve">Lakshmir Bhandar doubled (2024)</t>
  </si>
  <si>
    <t xml:space="preserve">Chandrima Bhattacharya (Minister of State (Independent Charge), Finance, West Bengal, TMC); Mamata Banerjee (Chief Minister, West Bengal, TMC)</t>
  </si>
  <si>
    <t xml:space="preserve">₹500 to ₹1,000 a month (general), ₹1,000 to ₹1,200 (SC/ST)</t>
  </si>
  <si>
    <t xml:space="preserve">About 2.11 crore women</t>
  </si>
  <si>
    <t xml:space="preserve">₹14,400 crore</t>
  </si>
  <si>
    <t xml:space="preserve">Lok Sabha 2024 (West Bengal)</t>
  </si>
  <si>
    <t xml:space="preserve">TMC won 29 of 42 seats; BJP fell from 18 to 12</t>
  </si>
  <si>
    <t xml:space="preserve">Tabled 71 days before polling; the TMC won 29 of 42 Lok Sabha seats and the BJP fell to 12.</t>
  </si>
  <si>
    <t xml:space="preserve">hdb306</t>
  </si>
  <si>
    <t xml:space="preserve">https://occult-kranti.github.io/fact-duel/hisaab/#/q/hdb306</t>
  </si>
  <si>
    <t xml:space="preserve">The Hindu — Sops galore in West Bengal Budget 2024-25 ahead of Lok Sabha polls (8 Feb 2024)</t>
  </si>
  <si>
    <t xml:space="preserve">https://www.thehindu.com/news/national/other-states/west-bengal-state-budget-2024/article67824908.ece</t>
  </si>
  <si>
    <t xml:space="preserve">ct-mahtari-vandan-2024</t>
  </si>
  <si>
    <t xml:space="preserve">2024-03</t>
  </si>
  <si>
    <t xml:space="preserve">Mahtari Vandan Yojana</t>
  </si>
  <si>
    <t xml:space="preserve">Narendra Modi (Prime Minister (launched the state scheme), BJP)</t>
  </si>
  <si>
    <t xml:space="preserve">₹1,000 a month by DBT to married women over 21, including widows and deserted women</t>
  </si>
  <si>
    <t xml:space="preserve">About 70 lakh expected; 68.47 lakh paid in January 2026</t>
  </si>
  <si>
    <t xml:space="preserve">₹3,000 crore (2024-25 budget); ₹655 crore first instalment</t>
  </si>
  <si>
    <t xml:space="preserve">Lok Sabha 2024 (Chhattisgarh)</t>
  </si>
  <si>
    <t xml:space="preserve">BJP won 10 of 11 seats; Congress 1</t>
  </si>
  <si>
    <t xml:space="preserve">First paid 40 days before Lok Sabha polling; the BJP won 10 of Chhattisgarh’s 11 seats.</t>
  </si>
  <si>
    <t xml:space="preserve">hdb238; hst229; hst232</t>
  </si>
  <si>
    <t xml:space="preserve">https://occult-kranti.github.io/fact-duel/hisaab/#/q/hdb238 https://occult-kranti.github.io/fact-duel/hisaab/#/q/hst229 https://occult-kranti.github.io/fact-duel/hisaab/#/q/hst232</t>
  </si>
  <si>
    <t xml:space="preserve">PIB — PM Modi launches Mahtari Vandan Yojana in Chhattisgarh (10 Mar 2024)</t>
  </si>
  <si>
    <t xml:space="preserve">https://www.pib.gov.in/PressReleasePage.aspx?PRID=2013167</t>
  </si>
  <si>
    <t xml:space="preserve">dl-mahila-samman-2024</t>
  </si>
  <si>
    <t xml:space="preserve">Mukhyamantri Mahila Samman Yojana</t>
  </si>
  <si>
    <t xml:space="preserve">Atishi (Chief Minister, Delhi, AAP); Arvind Kejriwal (AAP national convenor (former CM), AAP)</t>
  </si>
  <si>
    <t xml:space="preserve">₹1,000 a month for non-taxpaying women (cabinet, Dec 2024), with ₹2,100 promised if re-elected</t>
  </si>
  <si>
    <t xml:space="preserve">Delhi Assembly 2025</t>
  </si>
  <si>
    <t xml:space="preserve">2025-02</t>
  </si>
  <si>
    <t xml:space="preserve">BJP won 48 of 70 seats; AAP 22</t>
  </si>
  <si>
    <t xml:space="preserve">Never paid: the WCD department said no scheme was notified. The BJP won the February 2025 poll with 48 of 70 seats.</t>
  </si>
  <si>
    <t xml:space="preserve">hdb134</t>
  </si>
  <si>
    <t xml:space="preserve">https://occult-kranti.github.io/fact-duel/hisaab/#/q/hdb134</t>
  </si>
  <si>
    <t xml:space="preserve">The Indian Express — Schemes launched by Kejriwal, Atishi disowned by Delhi govt’s own departments (25 Dec 2024)</t>
  </si>
  <si>
    <t xml:space="preserve">https://indianexpress.com/article/cities/delhi/delhi-departments-notices-aap-schemes-kejriwal-9743477/</t>
  </si>
  <si>
    <t xml:space="preserve">hp-pyari-behna-2024</t>
  </si>
  <si>
    <t xml:space="preserve">Indira Gandhi Pyari Behna Sukh Samman Nidhi</t>
  </si>
  <si>
    <t xml:space="preserve">₹1,500 a month for women aged 18–59</t>
  </si>
  <si>
    <t xml:space="preserve">About 2 lakh women in phase one</t>
  </si>
  <si>
    <t xml:space="preserve">₹800 crore announced for 5 lakh women</t>
  </si>
  <si>
    <t xml:space="preserve">Lok Sabha 2024 (Himachal Pradesh)</t>
  </si>
  <si>
    <t xml:space="preserve">2024-06</t>
  </si>
  <si>
    <t xml:space="preserve">BJP won all 4 seats</t>
  </si>
  <si>
    <t xml:space="preserve">Notified weeks before the 2024 poll (BJP won all 4 seats); statewide payments were cleared only in May 2026.</t>
  </si>
  <si>
    <t xml:space="preserve">hdb144</t>
  </si>
  <si>
    <t xml:space="preserve">https://occult-kranti.github.io/fact-duel/hisaab/#/q/hdb144</t>
  </si>
  <si>
    <t xml:space="preserve">The Economic Times — Himachal Pradesh clears Rs 1,500 aid for women in 4th year of power (24 May 2026)</t>
  </si>
  <si>
    <t xml:space="preserve">https://m.economictimes.com/news/india/himachal-pradesh-clears-rs-1500-aid-for-women-in-4th-year-of-power/articleshow/131284831.cms</t>
  </si>
  <si>
    <t xml:space="preserve">in-lpg-price-cut-2024</t>
  </si>
  <si>
    <t xml:space="preserve">LPG price cut of ₹100</t>
  </si>
  <si>
    <t xml:space="preserve">₹100 off the price of a domestic LPG cylinder</t>
  </si>
  <si>
    <t xml:space="preserve">BJP 240 of 543; NDA 293; INC 99</t>
  </si>
  <si>
    <t xml:space="preserve">Announced eight days before the poll schedule; the BJP won 240 of 543. The cited sources make no causal claim.</t>
  </si>
  <si>
    <t xml:space="preserve">hdb038</t>
  </si>
  <si>
    <t xml:space="preserve">https://occult-kranti.github.io/fact-duel/hisaab/#/q/hdb038</t>
  </si>
  <si>
    <t xml:space="preserve">The Indian Express — On International Women's Day, PM Modi announces cut in LPG cylinder prices by Rs 100 (8 Mar 2024)</t>
  </si>
  <si>
    <t xml:space="preserve">https://indianexpress.com/article/india/pm-modi-international-womens-day-lpg-cylinder-price-cut-9202370/</t>
  </si>
  <si>
    <t xml:space="preserve">ka-drought-relief-2024</t>
  </si>
  <si>
    <t xml:space="preserve">Karnataka drought relief after SC petition</t>
  </si>
  <si>
    <t xml:space="preserve">₹3,454 crore NDRF drought aid, approved after the state went to the Supreme Court</t>
  </si>
  <si>
    <t xml:space="preserve">The state had sought ₹18,171 crore and paid ₹2,000 each to over 33 lakh farmers; the CM said it was under a quarter of what norms required.</t>
  </si>
  <si>
    <t xml:space="preserve">hrf133</t>
  </si>
  <si>
    <t xml:space="preserve">https://occult-kranti.github.io/fact-duel/hisaab/#/q/hrf133</t>
  </si>
  <si>
    <t xml:space="preserve">The News Minute — Union government releases Rs 3,454 crore as drought relief to Karnataka (27 Apr 2024)</t>
  </si>
  <si>
    <t xml:space="preserve">https://www.thenewsminute.com/karnataka/union-government-releases-rs-3454-crore-as-drought-relief-to-karnataka</t>
  </si>
  <si>
    <t xml:space="preserve">mz-cyclone-remal-2024</t>
  </si>
  <si>
    <t xml:space="preserve">Cyclone Remal landslides: ex gratia</t>
  </si>
  <si>
    <t xml:space="preserve">ZPM</t>
  </si>
  <si>
    <t xml:space="preserve">Lalduhoma (Chief Minister, Mizoram, ZPM)</t>
  </si>
  <si>
    <t xml:space="preserve">₹4 lakh per death; ₹15 crore to the state disaster relief fund</t>
  </si>
  <si>
    <t xml:space="preserve">The state sought ₹237.6 crore from the Centre for rehabilitation in June 2024.</t>
  </si>
  <si>
    <t xml:space="preserve">hrf224</t>
  </si>
  <si>
    <t xml:space="preserve">https://occult-kranti.github.io/fact-duel/hisaab/#/q/hrf224</t>
  </si>
  <si>
    <t xml:space="preserve">Livemint — Cyclone Remal batters Mizoram: 27 lives lost in Aizawl; CM Lalduhoma allocates ₹15 cr for state relief fund (29 May 2024)</t>
  </si>
  <si>
    <t xml:space="preserve">https://www.livemint.com/news/india/cyclone-remal-news-aizawl-mizoram-cm-lalduhoma-15-cr-for-state-relief-fund-rainfall-imd-power-weather-landslides-11716945923196.html</t>
  </si>
  <si>
    <t xml:space="preserve">mh-budget-2024-farm-power</t>
  </si>
  <si>
    <t xml:space="preserve">Free power for farm pumps (June 2024 budget)</t>
  </si>
  <si>
    <t xml:space="preserve">Ajit Pawar (Deputy CM and Finance Minister, Maharashtra, NCP)</t>
  </si>
  <si>
    <t xml:space="preserve">Free power for farm pumps up to 7.5 HP; three free LPG cylinders a year; youth trainee stipend</t>
  </si>
  <si>
    <t xml:space="preserve">44.61 lakh farmers; 52.4 lakh households (LPG)</t>
  </si>
  <si>
    <t xml:space="preserve">BJP-led Mahayuti won 235 of 288 seats (BJP 132, Shiv Sena 57, NCP 41)</t>
  </si>
  <si>
    <t xml:space="preserve">Presented 145 days before polling; the BJP-led Mahayuti won 235 of 288 seats.</t>
  </si>
  <si>
    <t xml:space="preserve">hdb241</t>
  </si>
  <si>
    <t xml:space="preserve">https://occult-kranti.github.io/fact-duel/hisaab/#/q/hdb241</t>
  </si>
  <si>
    <t xml:space="preserve">Times of India — Maharashtra Budget 2024-25: Key highlights (29 Jun 2024)</t>
  </si>
  <si>
    <t xml:space="preserve">https://timesofindia.indiatimes.com/city/mumbai/maharashtra-budget-2024-25-key-highlights/articleshow/111337334.cms</t>
  </si>
  <si>
    <t xml:space="preserve">mh-ladki-bahin-2024</t>
  </si>
  <si>
    <t xml:space="preserve">Mukhyamantri Majhi Ladki Bahin Yojana</t>
  </si>
  <si>
    <t xml:space="preserve">Eknath Shinde (Chief Minister, Maharashtra, Shiv Sena); Ajit Pawar (Deputy CM and Finance Minister, Maharashtra (budget of 28 Jun 2024), NCP)</t>
  </si>
  <si>
    <t xml:space="preserve">₹1,500 a month for women aged 21–65 in families earning under ₹2.5 lakh</t>
  </si>
  <si>
    <t xml:space="preserve">Peak about 2.43 crore; just over 1.5 crore after 92 lakh deletions</t>
  </si>
  <si>
    <t xml:space="preserve">About ₹46,000 crore a year; ₹76,261 crore in two years</t>
  </si>
  <si>
    <t xml:space="preserve">BJP-led Mahayuti won 230 of 288 seats; BJP 132</t>
  </si>
  <si>
    <t xml:space="preserve">Paid to Nov 2024 before the code; the Mahayuti swept (235 of 288). ₹9,605 crore went to those later found ineligible (RTI).</t>
  </si>
  <si>
    <t xml:space="preserve">hst207; hdb240; hpe144; hst208</t>
  </si>
  <si>
    <t xml:space="preserve">https://occult-kranti.github.io/fact-duel/hisaab/#/q/hst207 https://occult-kranti.github.io/fact-duel/hisaab/#/q/hdb240 https://occult-kranti.github.io/fact-duel/hisaab/#/q/hpe144 https://occult-kranti.github.io/fact-duel/hisaab/#/q/hst208</t>
  </si>
  <si>
    <t xml:space="preserve">Business Today — 92 lakh beneficiaries removed from Maharashtra’s Ladki Bahin Yojana after verification (13 Jul 2026)</t>
  </si>
  <si>
    <t xml:space="preserve">https://www.businesstoday.in/india/story/92-lakh-beneficiaries-removed-from-maharashtras-ladki-bahin-yojana-after-verification-report-542573-2026-07-13</t>
  </si>
  <si>
    <t xml:space="preserve">in-pm-internship-2024</t>
  </si>
  <si>
    <t xml:space="preserve">2024-07</t>
  </si>
  <si>
    <t xml:space="preserve">PM Internship Scheme</t>
  </si>
  <si>
    <t xml:space="preserve">₹5,000 a month (later ₹9,000) plus ₹6,000 once for interns in top companies</t>
  </si>
  <si>
    <t xml:space="preserve">16,068 joined from 1.65 lakh offers in two pilot rounds</t>
  </si>
  <si>
    <t xml:space="preserve">₹380 crore spent of ₹2,000 crore (2024-25 revised)</t>
  </si>
  <si>
    <t xml:space="preserve">Round three, from April 2026, had 10,195 joinings by July; the aim is 1 crore youth in five years.</t>
  </si>
  <si>
    <t xml:space="preserve">hdb042</t>
  </si>
  <si>
    <t xml:space="preserve">https://occult-kranti.github.io/fact-duel/hisaab/#/q/hdb042</t>
  </si>
  <si>
    <t xml:space="preserve">ETCFO — PM Internship Scheme sees 1.65 lakh-plus offers in first two rounds, just 16,068 join (23 Jul 2026)</t>
  </si>
  <si>
    <t xml:space="preserve">https://cfo.economictimes.indiatimes.com/news/policy/pm-internship-scheme-over-165-lakh-offers-round-iii-sees-10195-joinings/132572654</t>
  </si>
  <si>
    <t xml:space="preserve">od-gopabandhu-jan-arogya-2024</t>
  </si>
  <si>
    <t xml:space="preserve">Gopabandhu Jan Arogya Yojana (BSKY renamed)</t>
  </si>
  <si>
    <t xml:space="preserve">Mohan Charan Majhi (Chief Minister, Odisha, BJP)</t>
  </si>
  <si>
    <t xml:space="preserve">State health cover renamed, with Ayushman Bharat PM-JAY brought in</t>
  </si>
  <si>
    <t xml:space="preserve">3.5 crore people in 1.3 crore families</t>
  </si>
  <si>
    <t xml:space="preserve">₹5,450 crore GJAY; ₹500 crore PM-JAY (2024-25)</t>
  </si>
  <si>
    <t xml:space="preserve">Both were launched at Cuttack in April 2025; health took about 8% of the 2024-25 budget.</t>
  </si>
  <si>
    <t xml:space="preserve">hdb318</t>
  </si>
  <si>
    <t xml:space="preserve">https://occult-kranti.github.io/fact-duel/hisaab/#/q/hdb318</t>
  </si>
  <si>
    <t xml:space="preserve">The New Indian Express — GJAY replaces Biju Swasthya Kalyan Yojana as health takes 8 per cent of Odisha's budget (26 Jul 2024)</t>
  </si>
  <si>
    <t xml:space="preserve">https://www.newindianexpress.com/states/odisha/2024/Jul/26/gjay-replaces-biju-swasthya-kalyan-yojana-as-health-takes-8-per-cent-of-odishas-budget</t>
  </si>
  <si>
    <t xml:space="preserve">tg-crop-loan-waiver-2024</t>
  </si>
  <si>
    <t xml:space="preserve">₹2 lakh crop loan waiver (Telangana)</t>
  </si>
  <si>
    <t xml:space="preserve">A. Revanth Reddy (Chief Minister, Telangana, INC)</t>
  </si>
  <si>
    <t xml:space="preserve">Crop loans waived up to ₹2 lakh</t>
  </si>
  <si>
    <t xml:space="preserve">Over 25 lakh farmers</t>
  </si>
  <si>
    <t xml:space="preserve">About ₹21,000 crore of a planned ₹31,000 crore</t>
  </si>
  <si>
    <t xml:space="preserve">The BRS called it a ‘betrayal’ over conditions; the CM said ₹18,000 crore reached farmers in 27 days.</t>
  </si>
  <si>
    <t xml:space="preserve">hdb417</t>
  </si>
  <si>
    <t xml:space="preserve">https://occult-kranti.github.io/fact-duel/hisaab/#/q/hdb417</t>
  </si>
  <si>
    <t xml:space="preserve">The Times of India — Telangana CM A Revanth Reddy waives more farm loans, to cost govt Rs 2,747 crore (1 Dec 2024)</t>
  </si>
  <si>
    <t xml:space="preserve">https://timesofindia.indiatimes.com/city/hyderabad/telangana-cm-revanth-waives-more-farm-loans-to-cost-govt-2747-crore/articleshow/115851819.cms</t>
  </si>
  <si>
    <t xml:space="preserve">hr-har-ghar-har-grihini-2024</t>
  </si>
  <si>
    <t xml:space="preserve">2024-08</t>
  </si>
  <si>
    <t xml:space="preserve">Har Ghar Har Grihini LPG at ₹500</t>
  </si>
  <si>
    <t xml:space="preserve">Nayab Singh Saini (Chief Minister, Haryana, BJP)</t>
  </si>
  <si>
    <t xml:space="preserve">Up to 12 LPG cylinders a year at ₹500, the rest refunded</t>
  </si>
  <si>
    <t xml:space="preserve">About 50 lakh Antyodaya families</t>
  </si>
  <si>
    <t xml:space="preserve">₹1,500 crore a year (state estimate)</t>
  </si>
  <si>
    <t xml:space="preserve">BJP won 48 of 90; Congress 37</t>
  </si>
  <si>
    <t xml:space="preserve">Launched 54 days before polling; the BJP won 48 of 90 seats, a third straight term.</t>
  </si>
  <si>
    <t xml:space="preserve">hpe142</t>
  </si>
  <si>
    <t xml:space="preserve">https://occult-kranti.github.io/fact-duel/hisaab/#/q/hpe142</t>
  </si>
  <si>
    <t xml:space="preserve">News On AIR — Haryana CM Nayab Singh Saini launches 'Har Ghar-Har Grihini Yojana' (12 Aug 2024)</t>
  </si>
  <si>
    <t xml:space="preserve">https://newsonair.gov.in/haryana-cm-nayab-singh-saini-launches-har-ghar-har-grihini-yojana/</t>
  </si>
  <si>
    <t xml:space="preserve">in-pmay-urban-2-2024</t>
  </si>
  <si>
    <t xml:space="preserve">PMAY-Urban 2.0</t>
  </si>
  <si>
    <t xml:space="preserve">Housing support for 1 crore urban poor and middle-class families</t>
  </si>
  <si>
    <t xml:space="preserve">₹2.30 lakh crore government subsidy within ₹10 lakh crore investment</t>
  </si>
  <si>
    <t xml:space="preserve">Approved in August 2024; the bank holds no completion figures yet.</t>
  </si>
  <si>
    <t xml:space="preserve">hsc028</t>
  </si>
  <si>
    <t xml:space="preserve">https://occult-kranti.github.io/fact-duel/hisaab/#/q/hsc028</t>
  </si>
  <si>
    <t xml:space="preserve">PMO — Cabinet approves PMAY-Urban 2.0 (9 Aug 2024)</t>
  </si>
  <si>
    <t xml:space="preserve">https://www.pmindia.gov.in/en/news_updates/cabinet-approves-pradhan-mantri-awas-yojana-urban-2-0-scheme/</t>
  </si>
  <si>
    <t xml:space="preserve">jh-farm-loan-waiver-2024</t>
  </si>
  <si>
    <t xml:space="preserve">Farm-loan waiver limit raised (Jharkhand)</t>
  </si>
  <si>
    <t xml:space="preserve">Waiver limit raised from ₹50,000 to ₹2 lakh</t>
  </si>
  <si>
    <t xml:space="preserve">1.76 lakh farmers paid on 26 Sept 2024</t>
  </si>
  <si>
    <t xml:space="preserve">About ₹750 crore; ₹400.66 crore transferred</t>
  </si>
  <si>
    <t xml:space="preserve">Jharkhand Assembly 2024</t>
  </si>
  <si>
    <t xml:space="preserve">JMM-led alliance re-elected: JMM 34, Congress 16; BJP 21 of 81</t>
  </si>
  <si>
    <t xml:space="preserve">The JMM-led alliance was re-elected: JMM 34, Congress 16; BJP 21 of 81.</t>
  </si>
  <si>
    <t xml:space="preserve">hpe143</t>
  </si>
  <si>
    <t xml:space="preserve">https://occult-kranti.github.io/fact-duel/hisaab/#/q/hpe143</t>
  </si>
  <si>
    <t xml:space="preserve">India Today — Jharkhand cabinet increases loan waivers limit for farmers upto Rs 2 lakh (8 Aug 2024)</t>
  </si>
  <si>
    <t xml:space="preserve">https://www.indiatoday.in/india/story/jharkhand-cabinet-meeting-hemant-soren-jharkhand-agricultural-loan-waiver-scheme-farmers-2578777-2024-08-08</t>
  </si>
  <si>
    <t xml:space="preserve">jh-maiya-samman-2024</t>
  </si>
  <si>
    <t xml:space="preserve">Mukhyamantri Maiya Samman Yojana</t>
  </si>
  <si>
    <t xml:space="preserve">Monthly cash for women aged 18–50: ₹1,000 at launch, ₹2,500 from December 2024</t>
  </si>
  <si>
    <t xml:space="preserve">₹13,363 crore (2025-26), 11% of revenue receipts</t>
  </si>
  <si>
    <t xml:space="preserve">JMM-led alliance won 56 of 81 seats; JMM alone 34</t>
  </si>
  <si>
    <t xml:space="preserve">Launched three months before the 2024 poll (JMM alliance 56 of 81). Over 18 lakh names were deleted after verification by March 2025.</t>
  </si>
  <si>
    <t xml:space="preserve">hst159; hst161; hdb137; hdb135</t>
  </si>
  <si>
    <t xml:space="preserve">https://occult-kranti.github.io/fact-duel/hisaab/#/q/hst159 https://occult-kranti.github.io/fact-duel/hisaab/#/q/hst161 https://occult-kranti.github.io/fact-duel/hisaab/#/q/hdb137 https://occult-kranti.github.io/fact-duel/hisaab/#/q/hdb135</t>
  </si>
  <si>
    <t xml:space="preserve">PRS Legislative Research — Jharkhand Budget Analysis 2025-26</t>
  </si>
  <si>
    <t xml:space="preserve">https://prsindia.org/files/budget/budget_state/jharkhand/2025/Jharkhand_Budget_Analysis_2025-26.pdf</t>
  </si>
  <si>
    <t xml:space="preserve">in-pm-jay-70-plus-2024</t>
  </si>
  <si>
    <t xml:space="preserve">2024-09</t>
  </si>
  <si>
    <t xml:space="preserve">PM-JAY opened to all aged 70+</t>
  </si>
  <si>
    <t xml:space="preserve">₹5 lakh cover for every senior citizen aged 70+, regardless of income</t>
  </si>
  <si>
    <t xml:space="preserve">About 4.5 crore families, 6 crore seniors</t>
  </si>
  <si>
    <t xml:space="preserve">Cabinet decision of 11 September 2024; the bank holds no enrolment figures yet.</t>
  </si>
  <si>
    <t xml:space="preserve">hsc006</t>
  </si>
  <si>
    <t xml:space="preserve">https://occult-kranti.github.io/fact-duel/hisaab/#/q/hsc006</t>
  </si>
  <si>
    <t xml:space="preserve">PMO — Cabinet approves health coverage to all senior citizens aged 70+ under AB PM-JAY (11 Sep 2024)</t>
  </si>
  <si>
    <t xml:space="preserve">https://www.pmindia.gov.in/en/news_updates/cabinet-approves-health-coverage-to-all-senior-citizens-of-the-age-70-years-and-above-irrespective-of-income-under-ayushman-bharat-pradhan-mantri-jan-arogya-yojana-ab-pm-jay/</t>
  </si>
  <si>
    <t xml:space="preserve">mz-bana-kaih-2024</t>
  </si>
  <si>
    <t xml:space="preserve">Bana Kaih (handholding)</t>
  </si>
  <si>
    <t xml:space="preserve">State support prices for ginger, turmeric, chilli and broomsticks; loans up to ₹50 lakh</t>
  </si>
  <si>
    <t xml:space="preserve">₹200 crore (2024-25); ₹350 crore (2025-26)</t>
  </si>
  <si>
    <t xml:space="preserve">Allocation raised 75% in the 2025-26 budget, which also announced ₹5 lakh health insurance.</t>
  </si>
  <si>
    <t xml:space="preserve">hdb327</t>
  </si>
  <si>
    <t xml:space="preserve">https://occult-kranti.github.io/fact-duel/hisaab/#/q/hdb327</t>
  </si>
  <si>
    <t xml:space="preserve">The Hindu — Mizoram Government presents ₹15,198 crore budget, allocates 75% more in flagship scheme (4 Mar 2025)</t>
  </si>
  <si>
    <t xml:space="preserve">https://www.thehindu.com/news/national/mizoram/mizoram-govt-presents-budget-allocation-for-flagship-scheme/article69290190.ece</t>
  </si>
  <si>
    <t xml:space="preserve">od-subhadra-2024</t>
  </si>
  <si>
    <t xml:space="preserve">Subhadra Yojana</t>
  </si>
  <si>
    <t xml:space="preserve">Narendra Modi (Prime Minister, BJP); Mohan Charan Majhi (Chief Minister, Odisha, BJP)</t>
  </si>
  <si>
    <t xml:space="preserve">₹10,000 a year in two instalments, ₹50,000 over five years, for women aged 21–60</t>
  </si>
  <si>
    <t xml:space="preserve">About 1 crore women</t>
  </si>
  <si>
    <t xml:space="preserve">₹10,145 crore (2026-27); ₹5,000 crore third instalment</t>
  </si>
  <si>
    <t xml:space="preserve">A 2024 BJP manifesto promise (as a ₹50,000 voucher); the BJP won 78 of 147, ending 24 years of BJD rule.</t>
  </si>
  <si>
    <t xml:space="preserve">hdb335; hst310; hpe145</t>
  </si>
  <si>
    <t xml:space="preserve">https://occult-kranti.github.io/fact-duel/hisaab/#/q/hdb335 https://occult-kranti.github.io/fact-duel/hisaab/#/q/hst310 https://occult-kranti.github.io/fact-duel/hisaab/#/q/hpe145</t>
  </si>
  <si>
    <t xml:space="preserve">PM India (PMO) — PM launches 'SUBHADRA', the largest women-centric scheme, in Bhubaneswar, Odisha (17 Sep 2024)</t>
  </si>
  <si>
    <t xml:space="preserve">https://www.pmindia.gov.in/en/news_updates/pm-launches-subhadra-the-largest-women-centric-scheme-in-bhubaneswar-odisha/</t>
  </si>
  <si>
    <t xml:space="preserve">tr-floods-package-2024</t>
  </si>
  <si>
    <t xml:space="preserve">Tripura floods: state package</t>
  </si>
  <si>
    <t xml:space="preserve">₹564 crore from state funds, including extra rice for 9.8 lakh card holders</t>
  </si>
  <si>
    <t xml:space="preserve">The Centre approved ₹288.93 crore extra NDRF aid in Feb 2025; the first recovery funds came in May 2026.</t>
  </si>
  <si>
    <t xml:space="preserve">hrf223</t>
  </si>
  <si>
    <t xml:space="preserve">https://occult-kranti.github.io/fact-duel/hisaab/#/q/hrf223</t>
  </si>
  <si>
    <t xml:space="preserve">The Economic Times — Tripura CM Manik Saha announces Rs 564 crore special package for flood-affected areas (7 Sep 2024)</t>
  </si>
  <si>
    <t xml:space="preserve">https://m.economictimes.com/news/india/tripura-cm-manik-saha-announces-rs-564-crore-special-package-for-flood-affected-areas/articleshow/113140943.cms</t>
  </si>
  <si>
    <t xml:space="preserve">as-nijut-moina-2024</t>
  </si>
  <si>
    <t xml:space="preserve">Nijut Moina stipend</t>
  </si>
  <si>
    <t xml:space="preserve">₹1,000–₹2,500 a month for 10 months to girl students who stay unmarried through their course</t>
  </si>
  <si>
    <t xml:space="preserve">4.3 lakh girls budgeted 2025-26; over 5.5 lakh in 2026-27</t>
  </si>
  <si>
    <t xml:space="preserve">A male postgraduate version, Nijut Babu Asoni, followed; the Congress said the state was ‘creating beneficiaries’.</t>
  </si>
  <si>
    <t xml:space="preserve">hdb322</t>
  </si>
  <si>
    <t xml:space="preserve">https://occult-kranti.github.io/fact-duel/hisaab/#/q/hdb322</t>
  </si>
  <si>
    <t xml:space="preserve">The Hindu — 'Nijut Moina' scheme: First instalment of monthly stipend handed over to girl students in Assam (6 Oct 2024)</t>
  </si>
  <si>
    <t xml:space="preserve">https://www.thehindu.com/news/national/assam/nijut-moina-scheme-first-instalment-of-monthly-stipend-handed-over-to-girl-students-in-assam/article68724539.ece</t>
  </si>
  <si>
    <t xml:space="preserve">jh-maiya-samman-hike-2024</t>
  </si>
  <si>
    <t xml:space="preserve">Maiya Samman raised to ₹2,500</t>
  </si>
  <si>
    <t xml:space="preserve">Monthly payment raised from ₹1,000 to ₹2,500 from December</t>
  </si>
  <si>
    <t xml:space="preserve">About ₹9,000 crore a year extra</t>
  </si>
  <si>
    <t xml:space="preserve">Approved a day before the poll schedule; the JMM-led alliance won 56 of 81, the first re-election of a sitting Jharkhand government.</t>
  </si>
  <si>
    <t xml:space="preserve">hdb135</t>
  </si>
  <si>
    <t xml:space="preserve">https://occult-kranti.github.io/fact-duel/hisaab/#/q/hdb135</t>
  </si>
  <si>
    <t xml:space="preserve">Business Standard — Jharkhand polls: How Maiya Samman Yojana strengthened Soren’s grip in state (23 Nov 2024)</t>
  </si>
  <si>
    <t xml:space="preserve">https://www.business-standard.com/elections/jharkhand-elections/jharkhand-polls-how-maiya-samman-yojana-strengthened-soren-s-grip-in-state-124112300422_1.html</t>
  </si>
  <si>
    <t xml:space="preserve">mh-pm-kisan-18th-2024</t>
  </si>
  <si>
    <t xml:space="preserve">PM-KISAN 18th instalment (Washim)</t>
  </si>
  <si>
    <t xml:space="preserve">An instalment to each eligible farmer family, released at Washim on Haryana’s polling day</t>
  </si>
  <si>
    <t xml:space="preserve">About 9.4 crore farmers</t>
  </si>
  <si>
    <t xml:space="preserve">About ₹20,000 crore</t>
  </si>
  <si>
    <t xml:space="preserve">Mahayuti won 230 of 288 seats; BJP 132</t>
  </si>
  <si>
    <t xml:space="preserve">Maharashtra voted 46 days later; the Mahayuti won 230 of 288 seats.</t>
  </si>
  <si>
    <t xml:space="preserve">hpe222</t>
  </si>
  <si>
    <t xml:space="preserve">https://occult-kranti.github.io/fact-duel/hisaab/#/q/hpe222</t>
  </si>
  <si>
    <t xml:space="preserve">PM India — PM launches initiatives worth around Rs 23,300 crore in Washim, Maharashtra (5 Oct 2024)</t>
  </si>
  <si>
    <t xml:space="preserve">https://www.pmindia.gov.in/en/news_updates/pm-launches-various-initiatives-related-to-the-agricultural-and-animal-husbandry-sector-worth-around-rs-23300-crore-in-washim-maharashtra/</t>
  </si>
  <si>
    <t xml:space="preserve">ap-deepam-2-2024</t>
  </si>
  <si>
    <t xml:space="preserve">Deepam-2 free LPG refills</t>
  </si>
  <si>
    <t xml:space="preserve">Three free LPG refills a year, ₹876 refunded per refill within 48 hours</t>
  </si>
  <si>
    <t xml:space="preserve">90.1 lakh beneficiaries (2025-26 budget)</t>
  </si>
  <si>
    <t xml:space="preserve">₹2,684 crore a year (state estimate); ₹2,601 crore budgeted 2025-26</t>
  </si>
  <si>
    <t xml:space="preserve">In its first 42 days 62.30 lakh cylinders were delivered and ₹463.81 crore credited to 58.30 lakh people.</t>
  </si>
  <si>
    <t xml:space="preserve">hdb419</t>
  </si>
  <si>
    <t xml:space="preserve">https://occult-kranti.github.io/fact-duel/hisaab/#/q/hdb419</t>
  </si>
  <si>
    <t xml:space="preserve">The New Indian Express — Deepam-2 scheme beneficiaries to get free LPG cylinders from November 1 (31 Oct 2024)</t>
  </si>
  <si>
    <t xml:space="preserve">https://www.newindianexpress.com/states/andhra-pradesh/2024/Oct/31/deepam-2-scheme-beneficiaries-to-get-free-lpg-cylinders-from-november-1</t>
  </si>
  <si>
    <t xml:space="preserve">kl-wayanad-central-aid-2024</t>
  </si>
  <si>
    <t xml:space="preserve">2024-12</t>
  </si>
  <si>
    <t xml:space="preserve">Wayanad landslides: central aid</t>
  </si>
  <si>
    <t xml:space="preserve">Amit Shah (Union Home Minister (chair, High Level Committee), BJP)</t>
  </si>
  <si>
    <t xml:space="preserve">Judged a ‘disaster of severe nature’ (no ‘national calamity’ category); NDRF aid and an interest-free loan</t>
  </si>
  <si>
    <t xml:space="preserve">₹260.56 crore NDRF (Oct 2025); ₹529.50 crore loan (Feb 2025)</t>
  </si>
  <si>
    <t xml:space="preserve">About 11% of Kerala’s ₹2,221 crore ask; the first ₹76.16 crore was released. The state’s relief memorandum drew an estimates row in 2024.</t>
  </si>
  <si>
    <t xml:space="preserve">hrf036; hrf035; hrf135</t>
  </si>
  <si>
    <t xml:space="preserve">https://occult-kranti.github.io/fact-duel/hisaab/#/q/hrf036 https://occult-kranti.github.io/fact-duel/hisaab/#/q/hrf035 https://occult-kranti.github.io/fact-duel/hisaab/#/q/hrf135</t>
  </si>
  <si>
    <t xml:space="preserve">The News Minute — Union govt grants Rs 260.56 crore for rebuilding Wayanad (2 Oct 2025)</t>
  </si>
  <si>
    <t xml:space="preserve">https://www.thenewsminute.com/kerala/union-govt-grants-rs-26056-crore-for-rebuilding-wayanad-hit-by-landslide</t>
  </si>
  <si>
    <t xml:space="preserve">hr-mera-pani-meri-viraasat</t>
  </si>
  <si>
    <t xml:space="preserve">2025</t>
  </si>
  <si>
    <t xml:space="preserve">Mera Pani Meri Viraasat (payment raised)</t>
  </si>
  <si>
    <t xml:space="preserve">Nayab Singh Saini (Chief Minister, Haryana (presented the 2025-26 budget), BJP)</t>
  </si>
  <si>
    <t xml:space="preserve">Per-acre payment for giving up paddy raised from ₹7,000 to ₹8,000; direct-sowing subsidy to ₹4,500</t>
  </si>
  <si>
    <t xml:space="preserve">Raised in the 2025-26 budget (PRS); the bank holds no uptake figures.</t>
  </si>
  <si>
    <t xml:space="preserve">hst117</t>
  </si>
  <si>
    <t xml:space="preserve">https://occult-kranti.github.io/fact-duel/hisaab/#/q/hst117</t>
  </si>
  <si>
    <t xml:space="preserve">PRS Legislative Research — Haryana Budget Analysis 2025-26</t>
  </si>
  <si>
    <t xml:space="preserve">https://prsindia.org/files/budget/budget_state/haryana/2025/Haryana_Budget_Analysis_2025-26.pdf</t>
  </si>
  <si>
    <t xml:space="preserve">mn-special-central-grant-2025</t>
  </si>
  <si>
    <t xml:space="preserve">Special central grant for Manipur</t>
  </si>
  <si>
    <t xml:space="preserve">MN</t>
  </si>
  <si>
    <t xml:space="preserve">Manipur</t>
  </si>
  <si>
    <t xml:space="preserve">Grant to rehabilitate displaced people, rebuild houses and prepay loans</t>
  </si>
  <si>
    <t xml:space="preserve">₹2,198 crore (2025-26); ₹2,140 crore expected in 2026-27</t>
  </si>
  <si>
    <t xml:space="preserve">Came during President’s Rule (Feb 2025–Feb 2026), plus a ₹2,250 crore gap-filling grant expected.</t>
  </si>
  <si>
    <t xml:space="preserve">hst330</t>
  </si>
  <si>
    <t xml:space="preserve">https://occult-kranti.github.io/fact-duel/hisaab/#/q/hst330</t>
  </si>
  <si>
    <t xml:space="preserve">PRS Legislative Research — Manipur Budget Analysis 2026-27 (2026)</t>
  </si>
  <si>
    <t xml:space="preserve">https://prsindia.org/budgets/states/manipur-budget-analysis-2026-27</t>
  </si>
  <si>
    <t xml:space="preserve">in-eighth-pay-commission-2025</t>
  </si>
  <si>
    <t xml:space="preserve">2025-01</t>
  </si>
  <si>
    <t xml:space="preserve">Eighth Pay Commission approved</t>
  </si>
  <si>
    <t xml:space="preserve">Narendra Modi (Prime Minister, BJP); Ashwini Vaishnaw (Union Information &amp; Broadcasting Minister, BJP)</t>
  </si>
  <si>
    <t xml:space="preserve">A new pay commission for central staff and pensioners</t>
  </si>
  <si>
    <t xml:space="preserve">About 50 lakh employees and 65 lakh pensioners</t>
  </si>
  <si>
    <t xml:space="preserve">Approved 20 days before the Delhi poll (BJP won 48 of 70); terms of reference came only in October 2025.</t>
  </si>
  <si>
    <t xml:space="preserve">hpe038</t>
  </si>
  <si>
    <t xml:space="preserve">https://occult-kranti.github.io/fact-duel/hisaab/#/q/hpe038</t>
  </si>
  <si>
    <t xml:space="preserve">The Hindu — Cabinet announces 8th Pay Commission for central government employees (16 Jan 2025)</t>
  </si>
  <si>
    <t xml:space="preserve">https://www.thehindu.com/news/national/government-announces-8th-pay-commission-for-central-govt-employees/article69104291.ece</t>
  </si>
  <si>
    <t xml:space="preserve">tg-rythu-bharosa-2025</t>
  </si>
  <si>
    <t xml:space="preserve">Rythu Bharosa (replaces Rythu Bandhu)</t>
  </si>
  <si>
    <t xml:space="preserve">₹12,000 an acre a year on cultivable land, up from ₹10,000</t>
  </si>
  <si>
    <t xml:space="preserve">₹18,000 crore (2026-27)</t>
  </si>
  <si>
    <t xml:space="preserve">The largest of the six guarantees in the 2026-27 budget (PRS).</t>
  </si>
  <si>
    <t xml:space="preserve">hst263</t>
  </si>
  <si>
    <t xml:space="preserve">https://occult-kranti.github.io/fact-duel/hisaab/#/q/hst263</t>
  </si>
  <si>
    <t xml:space="preserve">BusinessLine (ANI) — Telangana farmers to receive ₹12,000 per acre annually under Rythu Bharosa scheme (5 Jan 2025)</t>
  </si>
  <si>
    <t xml:space="preserve">https://www.thehindubusinessline.com/economy/agri-business/telangana-farmers-to-receive-rs-12000-per-acre-annually-under-rythu-bharosa-scheme/article69063900.ece</t>
  </si>
  <si>
    <t xml:space="preserve">ar-dulari-kanya-revamp-2025</t>
  </si>
  <si>
    <t xml:space="preserve">Dulari Kanya revamp</t>
  </si>
  <si>
    <t xml:space="preserve">AR</t>
  </si>
  <si>
    <t xml:space="preserve">Arunachal Pradesh</t>
  </si>
  <si>
    <t xml:space="preserve">Pema Khandu (Chief Minister, Arunachal Pradesh, BJP)</t>
  </si>
  <si>
    <t xml:space="preserve">₹30,000 fixed deposit for girls born in a health facility plus ₹20,000 on Class 11 admission</t>
  </si>
  <si>
    <t xml:space="preserve">Total benefit rose to ₹50,000 per girl; the bank holds no reach or spending figures yet.</t>
  </si>
  <si>
    <t xml:space="preserve">hdb334</t>
  </si>
  <si>
    <t xml:space="preserve">https://occult-kranti.github.io/fact-duel/hisaab/#/q/hdb334</t>
  </si>
  <si>
    <t xml:space="preserve">ANI — Arunachal cabinet approves schemes for Women, Youth, and State Development (18 Feb 2025)</t>
  </si>
  <si>
    <t xml:space="preserve">https://www.aninews.in/news/national/general-news/arunachal-cabinet-approves-schemes-for-women-youth-and-state-development20250218095929</t>
  </si>
  <si>
    <t xml:space="preserve">br-pm-kisan-19th-2025</t>
  </si>
  <si>
    <t xml:space="preserve">PM-KISAN 19th instalment (Bhagalpur)</t>
  </si>
  <si>
    <t xml:space="preserve">₹2,000 to each eligible farmer family, released at Bhagalpur</t>
  </si>
  <si>
    <t xml:space="preserve">9.8 crore farmers (2.41 crore women)</t>
  </si>
  <si>
    <t xml:space="preserve">Over ₹22,000 crore</t>
  </si>
  <si>
    <t xml:space="preserve">Bihar Assembly 2025</t>
  </si>
  <si>
    <t xml:space="preserve">2025-11</t>
  </si>
  <si>
    <t xml:space="preserve">NDA won 202 of 243 seats; BJP 89, JD(U) 85</t>
  </si>
  <si>
    <t xml:space="preserve">Bihar voted 255 days later; the NDA won 202 of 243 seats.</t>
  </si>
  <si>
    <t xml:space="preserve">hpe223</t>
  </si>
  <si>
    <t xml:space="preserve">https://occult-kranti.github.io/fact-duel/hisaab/#/q/hpe223</t>
  </si>
  <si>
    <t xml:space="preserve">PIB — PM-KISAN completes 19 successful installments (24 Feb 2025)</t>
  </si>
  <si>
    <t xml:space="preserve">https://www.pib.gov.in/PressReleasePage.aspx?PRID=2105745</t>
  </si>
  <si>
    <t xml:space="preserve">in-budget-2025-income-tax</t>
  </si>
  <si>
    <t xml:space="preserve">Budget 2025: income up to ₹12 lakh tax-free</t>
  </si>
  <si>
    <t xml:space="preserve">Nil-tax threshold under the new regime raised from ₹7 lakh to ₹12 lakh</t>
  </si>
  <si>
    <t xml:space="preserve">About ₹1 lakh crore forgone</t>
  </si>
  <si>
    <t xml:space="preserve">Delhi voted four days later (BJP 48 of 70). Income-tax receipts were revised ₹1.26 lakh crore below target (PRS).</t>
  </si>
  <si>
    <t xml:space="preserve">hpe039; hbx017</t>
  </si>
  <si>
    <t xml:space="preserve">https://occult-kranti.github.io/fact-duel/hisaab/#/q/hpe039 https://occult-kranti.github.io/fact-duel/hisaab/#/q/hbx017</t>
  </si>
  <si>
    <t xml:space="preserve">Hindustan Times — PM Modi hails 'friendliest budget' ever at Delhi election rally (3 Feb 2025)</t>
  </si>
  <si>
    <t xml:space="preserve">https://www.hindustantimes.com/india-news/at-delhi-rally-modi-hails-friendliest-budget-ever-101738521936250.html</t>
  </si>
  <si>
    <t xml:space="preserve">dl-lakshmi-yojana-2025</t>
  </si>
  <si>
    <t xml:space="preserve">2025-03</t>
  </si>
  <si>
    <t xml:space="preserve">Mahila Samriddhi / Delhi Lakshmi Yojana</t>
  </si>
  <si>
    <t xml:space="preserve">Rekha Gupta (Chief Minister, Delhi, BJP)</t>
  </si>
  <si>
    <t xml:space="preserve">₹2,500 a month for poor women aged 21–60: ₹1,500 to a locked deposit, ₹1,000 to a digital-rupee wallet</t>
  </si>
  <si>
    <t xml:space="preserve">Up to 17 lakh women; 7.33 lakh endorsed applications by Sept 2026</t>
  </si>
  <si>
    <t xml:space="preserve">₹5,100 crore (2025-26 budget)</t>
  </si>
  <si>
    <t xml:space="preserve">Registration opened 16 months after the budget (Aug 2026); an MP/MLA endorsement rule is under challenge in the High Court.</t>
  </si>
  <si>
    <t xml:space="preserve">hst106; hdb143</t>
  </si>
  <si>
    <t xml:space="preserve">https://occult-kranti.github.io/fact-duel/hisaab/#/q/hst106 https://occult-kranti.github.io/fact-duel/hisaab/#/q/hdb143</t>
  </si>
  <si>
    <t xml:space="preserve">PRS Legislative Research — Delhi Budget Analysis 2025-26</t>
  </si>
  <si>
    <t xml:space="preserve">https://prsindia.org/files/budget/budget_state/delhi/2025/Delhi_Budget_Analysis_2025-26.pdf</t>
  </si>
  <si>
    <t xml:space="preserve">in-dm-amendment-act-2025</t>
  </si>
  <si>
    <t xml:space="preserve">Disaster Management (Amendment) Act, 2025</t>
  </si>
  <si>
    <t xml:space="preserve">Allows urban disaster authorities; the minister said disaster funds cannot pay for states’ ‘freebies’</t>
  </si>
  <si>
    <t xml:space="preserve">Passed both Houses in March 2025; by August 2026 only Karnataka had set up an urban authority (Rajya Sabha committee).</t>
  </si>
  <si>
    <t xml:space="preserve">hrf037</t>
  </si>
  <si>
    <t xml:space="preserve">https://occult-kranti.github.io/fact-duel/hisaab/#/q/hrf037</t>
  </si>
  <si>
    <t xml:space="preserve">Indian Express — No centralisation of power, no bias in funds: Amit Shah as Bill on disasters passed (26 Mar 2025)</t>
  </si>
  <si>
    <t xml:space="preserve">https://indianexpress.com/article/india/no-centralisation-of-power-no-bias-in-funds-amit-shah-as-bill-on-disasters-passed-9906187/</t>
  </si>
  <si>
    <t xml:space="preserve">jk-free-transport-women-2025</t>
  </si>
  <si>
    <t xml:space="preserve">Free public transport for women (J&amp;K)</t>
  </si>
  <si>
    <t xml:space="preserve">Omar Abdullah (Chief Minister, Jammu &amp; Kashmir (presented the 2025-26 budget), JKNC)</t>
  </si>
  <si>
    <t xml:space="preserve">Free rides for all women on government-owned transport from April 2025</t>
  </si>
  <si>
    <t xml:space="preserve">A 2025-26 budget promise; the bank holds no ridership or cost figures.</t>
  </si>
  <si>
    <t xml:space="preserve">hst141</t>
  </si>
  <si>
    <t xml:space="preserve">https://occult-kranti.github.io/fact-duel/hisaab/#/q/hst141</t>
  </si>
  <si>
    <t xml:space="preserve">PRS Legislative Research — Jammu and Kashmir Budget Analysis 2025-26</t>
  </si>
  <si>
    <t xml:space="preserve">https://prsindia.org/files/budget/budget_state/jammu-and-kashmir/2025/J%26K_Budget_Analysis_2025-26.pdf</t>
  </si>
  <si>
    <t xml:space="preserve">jk-social-pensions-2025</t>
  </si>
  <si>
    <t xml:space="preserve">Social pensions raised (J&amp;K)</t>
  </si>
  <si>
    <t xml:space="preserve">₹1,250–₹2,000 a month by age; 200 free power units and 10 kg free ration per person for Antyodaya homes</t>
  </si>
  <si>
    <t xml:space="preserve">Over 10 lakh pensioners</t>
  </si>
  <si>
    <t xml:space="preserve">Approved for rollout from April 2025, all National Conference manifesto promises.</t>
  </si>
  <si>
    <t xml:space="preserve">hdb139</t>
  </si>
  <si>
    <t xml:space="preserve">https://occult-kranti.github.io/fact-duel/hisaab/#/q/hdb139</t>
  </si>
  <si>
    <t xml:space="preserve">All India Radio — J&amp;K cabinet approves key budget announcements: free power, ration for AAY families, pension hike (28 Mar 2025)</t>
  </si>
  <si>
    <t xml:space="preserve">https://newsonair.gov.in/jk-cabinet-approves-key-budget-announcements-free-power-ration-for-aay-families-pension-hike/</t>
  </si>
  <si>
    <t xml:space="preserve">ap-talliki-vandanam-2025</t>
  </si>
  <si>
    <t xml:space="preserve">2025-06</t>
  </si>
  <si>
    <t xml:space="preserve">Talliki Vandanam</t>
  </si>
  <si>
    <t xml:space="preserve">₹15,000 a year to mothers for each school-going child, replacing Amma Vodi</t>
  </si>
  <si>
    <t xml:space="preserve">Nearly 67 lakh mothers, 67.27 lakh students</t>
  </si>
  <si>
    <t xml:space="preserve">₹8,745 crore first roll-out; ₹9,407 crore allocated 2025-26</t>
  </si>
  <si>
    <t xml:space="preserve">A ‘Super Six’ promise of the TDP–Jana Sena–BJP alliance, which swept the May 2024 poll (TDP 135 of 175).</t>
  </si>
  <si>
    <t xml:space="preserve">hst258</t>
  </si>
  <si>
    <t xml:space="preserve">https://occult-kranti.github.io/fact-duel/hisaab/#/q/hst258</t>
  </si>
  <si>
    <t xml:space="preserve">The South First — TDP-led Andhra government launches ‘Talliki Vandanam’ scheme ahead of first anniversary (11 Jun 2025)</t>
  </si>
  <si>
    <t xml:space="preserve">https://thesouthfirst.com/andhrapradesh/tdp-led-andhra-government-launches-talliki-vandanam-scheme-ahead-of-first-anniversary/</t>
  </si>
  <si>
    <t xml:space="preserve">br-social-pension-hike-2025</t>
  </si>
  <si>
    <t xml:space="preserve">Social security pension hike (Bihar)</t>
  </si>
  <si>
    <t xml:space="preserve">Monthly pension for the elderly, widows and disabled raised from ₹400 to ₹1,100</t>
  </si>
  <si>
    <t xml:space="preserve">About 1.11 crore pensioners</t>
  </si>
  <si>
    <t xml:space="preserve">₹1,227.27 crore transferred on 11 July 2025</t>
  </si>
  <si>
    <t xml:space="preserve">Pensions nearly tripled from July 2025; the NDA won 202 of 243 seats in November 2025.</t>
  </si>
  <si>
    <t xml:space="preserve">hdb136</t>
  </si>
  <si>
    <t xml:space="preserve">https://occult-kranti.github.io/fact-duel/hisaab/#/q/hdb136</t>
  </si>
  <si>
    <t xml:space="preserve">The Indian Express — Cometh the polls, cometh the doles: Nitish announces three-fold hike in social security pension (21 Jun 2025)</t>
  </si>
  <si>
    <t xml:space="preserve">https://indianexpress.com/article/india/bihar-govt-increases-old-age-widow-pension-by-rs-700-per-month-10080035/</t>
  </si>
  <si>
    <t xml:space="preserve">hp-monsoon-recovery-grant-2025</t>
  </si>
  <si>
    <t xml:space="preserve">Himachal 2023 monsoon: central recovery grant</t>
  </si>
  <si>
    <t xml:space="preserve">₹2,006.40 crore recovery aid, ₹1,504.80 crore of it from the NDRF</t>
  </si>
  <si>
    <t xml:space="preserve">Approved nearly two years after the disaster, against ₹9,042 crore sought; ₹633.73 crore extra NDRF aid came in Dec 2023.</t>
  </si>
  <si>
    <t xml:space="preserve">hrf225</t>
  </si>
  <si>
    <t xml:space="preserve">https://occult-kranti.github.io/fact-duel/hisaab/#/q/hrf225</t>
  </si>
  <si>
    <t xml:space="preserve">The New Indian Express — Centre approves Rs 2,006.40 crore assistance for Himachal Pradesh for post-disaster recovery plan (18 Jun 2025)</t>
  </si>
  <si>
    <t xml:space="preserve">https://www.newindianexpress.com/india/2025/Jun/18/centre-approves-rs-200640-crore-assistance-for-himachal-pradesh-for-post-disaster-recovery-plan</t>
  </si>
  <si>
    <t xml:space="preserve">br-125-free-units-2025</t>
  </si>
  <si>
    <t xml:space="preserve">2025-07</t>
  </si>
  <si>
    <t xml:space="preserve">125 free power units (Bihar)</t>
  </si>
  <si>
    <t xml:space="preserve">Free domestic electricity up to 125 units a month from 1 August 2025; free rooftop solar for Kutir Jyoti homes</t>
  </si>
  <si>
    <t xml:space="preserve">1.67 crore of 1.86 crore domestic consumers</t>
  </si>
  <si>
    <t xml:space="preserve">NDA won 202 of 243: BJP 89, JD(U) 85; RJD 25</t>
  </si>
  <si>
    <t xml:space="preserve">The NDA returned with 202 of 243 seats (BJP 89, JD(U) 85); the RJD fell to 25.</t>
  </si>
  <si>
    <t xml:space="preserve">hpe146</t>
  </si>
  <si>
    <t xml:space="preserve">https://occult-kranti.github.io/fact-duel/hisaab/#/q/hpe146</t>
  </si>
  <si>
    <t xml:space="preserve">The New Indian Express — Bihar cabinet gives nod for free electricity upto 125 units (18 Jul 2025)</t>
  </si>
  <si>
    <t xml:space="preserve">https://www.newindianexpress.com/india/2025/Jul/18/bihar-cabinet-gives-nod-for-free-electricity-upto-125-units-167-crore-power-consumers-to-benefit</t>
  </si>
  <si>
    <t xml:space="preserve">pb-sehat-yojana-2025</t>
  </si>
  <si>
    <t xml:space="preserve">Mukh Mantri Sehat Yojana</t>
  </si>
  <si>
    <t xml:space="preserve">Bhagwant Mann (Chief Minister, Punjab, AAP)</t>
  </si>
  <si>
    <t xml:space="preserve">Cashless treatment up to ₹10 lakh per family a year for every resident</t>
  </si>
  <si>
    <t xml:space="preserve">₹778 crore (2025-26)</t>
  </si>
  <si>
    <t xml:space="preserve">Cleared in July 2025 for rollout on 2 October; the bank holds no claims figures yet.</t>
  </si>
  <si>
    <t xml:space="preserve">hst111</t>
  </si>
  <si>
    <t xml:space="preserve">https://occult-kranti.github.io/fact-duel/hisaab/#/q/hst111</t>
  </si>
  <si>
    <t xml:space="preserve">The Tribune — Punjab Cabinet gives nod to ₹10 lakh health cover for all families (Jul 2025)</t>
  </si>
  <si>
    <t xml:space="preserve">https://www.tribuneindia.com/news/punjab/punjab-cabinet-gives-nod-to-scheme-providing-rs-10-lakh-health-cover-to-all-families</t>
  </si>
  <si>
    <t xml:space="preserve">ap-stree-shakti-2025</t>
  </si>
  <si>
    <t xml:space="preserve">2025-08</t>
  </si>
  <si>
    <t xml:space="preserve">Stree Shakti free bus travel</t>
  </si>
  <si>
    <t xml:space="preserve">Free APSRTC bus travel for women</t>
  </si>
  <si>
    <t xml:space="preserve">87 crore trips in year one; daily women riders up from 9.47 lakh to 24 lakh</t>
  </si>
  <si>
    <t xml:space="preserve">₹3,095 crore in year one (launch estimate ₹1,942 crore)</t>
  </si>
  <si>
    <t xml:space="preserve">Women rose from 40% to 62% of APSRTC passengers; the scheme runs on 76% of the fleet (NIE).</t>
  </si>
  <si>
    <t xml:space="preserve">hdb421</t>
  </si>
  <si>
    <t xml:space="preserve">https://occult-kranti.github.io/fact-duel/hisaab/#/q/hdb421</t>
  </si>
  <si>
    <t xml:space="preserve">The New Indian Express — Stree Shakti turns one, clocks over 87 crore trips (15 Aug 2026)</t>
  </si>
  <si>
    <t xml:space="preserve">https://www.newindianexpress.com/states/andhra-pradesh/2026/Aug/15/stree-shakti-turns-one-clocks-over-87-crore-trips</t>
  </si>
  <si>
    <t xml:space="preserve">br-flood-gratuitous-relief-2025</t>
  </si>
  <si>
    <t xml:space="preserve">Flood gratuitous relief (Bihar)</t>
  </si>
  <si>
    <t xml:space="preserve">₹7,000 per flood-hit family by direct transfer (raised from ₹6,000)</t>
  </si>
  <si>
    <t xml:space="preserve">6.51 lakh families in 12 districts</t>
  </si>
  <si>
    <t xml:space="preserve">₹456.12 crore</t>
  </si>
  <si>
    <t xml:space="preserve">NDA won 202 of 243 seats (BJP 89, JD(U) 85); RJD 25</t>
  </si>
  <si>
    <t xml:space="preserve">Paid 78 days before polling; the NDA won 202 of 243 seats and the JD(U) rose from 43 to 85.</t>
  </si>
  <si>
    <t xml:space="preserve">hrf136</t>
  </si>
  <si>
    <t xml:space="preserve">https://occult-kranti.github.io/fact-duel/hisaab/#/q/hrf136</t>
  </si>
  <si>
    <t xml:space="preserve">The Economic Times (PTI) — Bihar CM transfers Rs 456 cr to bank accounts of flood-hit families (20 Aug 2025)</t>
  </si>
  <si>
    <t xml:space="preserve">https://m.economictimes.com/news/india/bihar-cm-transfers-rs-456-cr-to-bank-accounts-of-flood-hit-families/articleshow/123404600.cms</t>
  </si>
  <si>
    <t xml:space="preserve">tn-breakfast-scheme-extension-2025</t>
  </si>
  <si>
    <t xml:space="preserve">CM’s Breakfast Scheme extended</t>
  </si>
  <si>
    <t xml:space="preserve">Free school breakfast widened to urban aided schools</t>
  </si>
  <si>
    <t xml:space="preserve">20.59 lakh students</t>
  </si>
  <si>
    <t xml:space="preserve">The TVK government extended it up to Class 8 in June 2026, adding nearly 15 lakh students.</t>
  </si>
  <si>
    <t xml:space="preserve">hst249</t>
  </si>
  <si>
    <t xml:space="preserve">https://occult-kranti.github.io/fact-duel/hisaab/#/q/hst249</t>
  </si>
  <si>
    <t xml:space="preserve">The Hindu — Chief Minister’s free breakfast scheme to be expanded to benefit 20.59 lakh students (24 Aug 2025)</t>
  </si>
  <si>
    <t xml:space="preserve">https://www.thehindu.com/news/national/tamil-nadu/cms-breakfast-scheme-to-be-expanded-to-benefit-2059-lakh-students-says-stalin/article69972026.ece</t>
  </si>
  <si>
    <t xml:space="preserve">br-mahila-rojgar-2025</t>
  </si>
  <si>
    <t xml:space="preserve">2025-09</t>
  </si>
  <si>
    <t xml:space="preserve">Mukhyamantri Mahila Rojgar Yojana</t>
  </si>
  <si>
    <t xml:space="preserve">Nitish Kumar (Chief Minister, Bihar, JD(U)); Narendra Modi (Prime Minister (launched it and made the first transfer), BJP)</t>
  </si>
  <si>
    <t xml:space="preserve">₹10,000 to each woman to start a venture, with up to ₹2 lakh more promised later</t>
  </si>
  <si>
    <t xml:space="preserve">75 lakh women at launch; 1.81 crore by February 2026</t>
  </si>
  <si>
    <t xml:space="preserve">₹7,500 crore at launch; ₹18,100 crore by February 2026</t>
  </si>
  <si>
    <t xml:space="preserve">Paid 41 days before polling; the NDA won 202 of 243. Jan Suraaj’s Supreme Court plea was withdrawn in Feb 2026 with liberty to go to the Patna HC.</t>
  </si>
  <si>
    <t xml:space="preserve">hst152; hdb140</t>
  </si>
  <si>
    <t xml:space="preserve">https://occult-kranti.github.io/fact-duel/hisaab/#/q/hst152 https://occult-kranti.github.io/fact-duel/hisaab/#/q/hdb140</t>
  </si>
  <si>
    <t xml:space="preserve">The Hindu — PM Modi launches Bihar’s Mukhyamantri Mahila Rojgar Yojana (26 Sep 2025)</t>
  </si>
  <si>
    <t xml:space="preserve">https://www.thehindu.com/elections/bihar-assembly/pm-modi-launches-bihars-mukhyamantri-mahila-rojgar-yojana/article70096776.ece</t>
  </si>
  <si>
    <t xml:space="preserve">br-student-credit-card-2025</t>
  </si>
  <si>
    <t xml:space="preserve">Student Credit Card made interest-free</t>
  </si>
  <si>
    <t xml:space="preserve">Education loans up to ₹4 lakh made interest-free for all, with longer repayment</t>
  </si>
  <si>
    <t xml:space="preserve">Announced 51 days before polling; the NDA won 202 of 243 seats. No cited study links the change to the result.</t>
  </si>
  <si>
    <t xml:space="preserve">hdb422</t>
  </si>
  <si>
    <t xml:space="preserve">https://occult-kranti.github.io/fact-duel/hisaab/#/q/hdb422</t>
  </si>
  <si>
    <t xml:space="preserve">The Times of India — Bihar elections: Nitish Kumar announces interest-free education loans under Student Credit Card scheme (16 Sep 2025)</t>
  </si>
  <si>
    <t xml:space="preserve">https://timesofindia.indiatimes.com/india/bihar-elections-nitish-kumar-announces-interest-free-education-loans-under-student-credit-card-scheme-all-you-need-to-know/articleshow/123915868.cms</t>
  </si>
  <si>
    <t xml:space="preserve">hr-lado-lakshmi-2025</t>
  </si>
  <si>
    <t xml:space="preserve">Deendayal Lado Lakshmi Yojana</t>
  </si>
  <si>
    <t xml:space="preserve">₹2,100 a month for women aged 23–60 in families earning up to ₹1 lakh</t>
  </si>
  <si>
    <t xml:space="preserve">About 20 lakh women in phase one (target); 5.22 lakh paid in the first instalment</t>
  </si>
  <si>
    <t xml:space="preserve">₹5,000 crore (2025-26 budget)</t>
  </si>
  <si>
    <t xml:space="preserve">Promised to all women before the 2024 poll; the first instalment (Nov 2025) reached under 4% of adult women, AIDWA said.</t>
  </si>
  <si>
    <t xml:space="preserve">hst115; hdb138</t>
  </si>
  <si>
    <t xml:space="preserve">https://occult-kranti.github.io/fact-duel/hisaab/#/q/hst115 https://occult-kranti.github.io/fact-duel/hisaab/#/q/hdb138</t>
  </si>
  <si>
    <t xml:space="preserve">The Tribune — CM Nayab Saini launches Deendayal Lado Lakshmi Yojana (25 Sep 2025)</t>
  </si>
  <si>
    <t xml:space="preserve">https://www.tribuneindia.com/news/haryana/cm-nayab-saini-launches-deendayal-lado-lakshmi-yojana-eligible-women-to-receive-rs-2100-monthly</t>
  </si>
  <si>
    <t xml:space="preserve">in-gst-2-2025</t>
  </si>
  <si>
    <t xml:space="preserve">GST 2.0 rate overhaul</t>
  </si>
  <si>
    <t xml:space="preserve">Four main slabs cut to 5% and 18%, plus 40% for sin and luxury goods</t>
  </si>
  <si>
    <t xml:space="preserve">About ₹48,000 crore a year (Revenue Secretary)</t>
  </si>
  <si>
    <t xml:space="preserve">In force 45 days before Bihar voted; the NDA won 202 of 243. The cited sources make no causal claim.</t>
  </si>
  <si>
    <t xml:space="preserve">hpe040; hbx031</t>
  </si>
  <si>
    <t xml:space="preserve">https://occult-kranti.github.io/fact-duel/hisaab/#/q/hpe040 https://occult-kranti.github.io/fact-duel/hisaab/#/q/hbx031</t>
  </si>
  <si>
    <t xml:space="preserve">Hindustan Times — New GST rates from 22 September (4 Sep 2025)</t>
  </si>
  <si>
    <t xml:space="preserve">https://www.hindustantimes.com/business/new-two-tier-gst-structure-to-kick-in-from-22-september-nirmala-sitharaman-101756917458027.html</t>
  </si>
  <si>
    <t xml:space="preserve">pb-flood-compensation-2025</t>
  </si>
  <si>
    <t xml:space="preserve">Flood crop compensation (Punjab)</t>
  </si>
  <si>
    <t xml:space="preserve">₹20,000 an acre for 75–100% crop loss; ₹40,000 for partly damaged houses; ₹4 lakh per death</t>
  </si>
  <si>
    <t xml:space="preserve">About 3.5 lakh acres in 2,508 villages</t>
  </si>
  <si>
    <t xml:space="preserve">Payments began on 13 October 2025; some farmers called the sum ‘peanuts’ against their losses.</t>
  </si>
  <si>
    <t xml:space="preserve">hrf138</t>
  </si>
  <si>
    <t xml:space="preserve">https://occult-kranti.github.io/fact-duel/hisaab/#/q/hrf138</t>
  </si>
  <si>
    <t xml:space="preserve">The Indian Express — Punjab announces 'highest-ever' flood compensation of Rs 20,000 per acre (8 Sep 2025)</t>
  </si>
  <si>
    <t xml:space="preserve">https://indianexpress.com/article/cities/chandigarh/punjab-flood-compensation-farmers-aid-10238014/</t>
  </si>
  <si>
    <t xml:space="preserve">pb-floods-central-aid-2025</t>
  </si>
  <si>
    <t xml:space="preserve">Punjab floods: central aid</t>
  </si>
  <si>
    <t xml:space="preserve">₹1,600 crore announced by the PM</t>
  </si>
  <si>
    <t xml:space="preserve">₹805 crore released; the MHA said Punjab’s SDRF held ₹12,589.59 crore, which the state disputed. The Assembly called the aid ‘meagre’.</t>
  </si>
  <si>
    <t xml:space="preserve">hrf137</t>
  </si>
  <si>
    <t xml:space="preserve">https://occult-kranti.github.io/fact-duel/hisaab/#/q/hrf137</t>
  </si>
  <si>
    <t xml:space="preserve">The Indian Express — Punjab flood relief: Mann says Shah promised more; MHA: 'utilise Rs 12,589 cr SDRF' (1 Oct 2025)</t>
  </si>
  <si>
    <t xml:space="preserve">https://indianexpress.com/article/cities/chandigarh/punjab-flood-relief-mann-says-shah-promised-more-mha-utlise-rs-12589-cr-sdrf-10281114/</t>
  </si>
  <si>
    <t xml:space="preserve">as-mahila-udyamita-2025</t>
  </si>
  <si>
    <t xml:space="preserve">2025-10</t>
  </si>
  <si>
    <t xml:space="preserve">Mukhya Mantri Mahila Udyamita Abhiyaan</t>
  </si>
  <si>
    <t xml:space="preserve">Up to ₹85,000 seed capital per SHG member over three years, ₹10,000 first</t>
  </si>
  <si>
    <t xml:space="preserve">Over 28.5 lakh women approved by the 2026 poll</t>
  </si>
  <si>
    <t xml:space="preserve">Assam Assembly 2026</t>
  </si>
  <si>
    <t xml:space="preserve">2026-04</t>
  </si>
  <si>
    <t xml:space="preserve">BJP won 82 of 126 seats; NDA third straight term</t>
  </si>
  <si>
    <t xml:space="preserve">Lakhs of women had the first ₹10,000 before the 9 April 2026 vote; the BJP won 82 of 126 as its alliance took a third term.</t>
  </si>
  <si>
    <t xml:space="preserve">hdb323</t>
  </si>
  <si>
    <t xml:space="preserve">https://occult-kranti.github.io/fact-duel/hisaab/#/q/hdb323</t>
  </si>
  <si>
    <t xml:space="preserve">The Indian Express — The 'asoni' election: Schemes for women may decide Assam contest (2 Apr 2026)</t>
  </si>
  <si>
    <t xml:space="preserve">https://indianexpress.com/article/political-pulse/the-asoni-election-schemes-for-women-may-decide-assam-contest-but-price-rise-remains-a-worry-10614409/</t>
  </si>
  <si>
    <t xml:space="preserve">kl-welfare-pension-2025</t>
  </si>
  <si>
    <t xml:space="preserve">Welfare pension raised to ₹2,000 (Kerala)</t>
  </si>
  <si>
    <t xml:space="preserve">Pinarayi Vijayan (Chief Minister, Kerala, CPI(M)); K.N. Balagopal (Finance Minister, Kerala, CPI(M))</t>
  </si>
  <si>
    <t xml:space="preserve">Monthly welfare pension raised from ₹1,600 to ₹2,000</t>
  </si>
  <si>
    <t xml:space="preserve">About ₹13,000 crore a year</t>
  </si>
  <si>
    <t xml:space="preserve">Kerala Assembly 2026</t>
  </si>
  <si>
    <t xml:space="preserve">UDF won 102 of 140 seats; LDF 35, NDA 3</t>
  </si>
  <si>
    <t xml:space="preserve">Announced 162 days before polling; the UDF won 102 of 140 and the LDF fell to 35.</t>
  </si>
  <si>
    <t xml:space="preserve">hdb242</t>
  </si>
  <si>
    <t xml:space="preserve">https://occult-kranti.github.io/fact-duel/hisaab/#/q/hdb242</t>
  </si>
  <si>
    <t xml:space="preserve">The Indian Express — Ahead of local body polls, Kerala govt opens purse strings for women, youth and pensioners (30 Oct 2025)</t>
  </si>
  <si>
    <t xml:space="preserve">https://indianexpress.com/article/cities/thiruvananthapuram/ahead-of-local-body-polls-kerala-govt-opens-purse-strings-for-women-youth-and-pensioners-10334851/</t>
  </si>
  <si>
    <t xml:space="preserve">kl-womens-safety-aid-2025</t>
  </si>
  <si>
    <t xml:space="preserve">Women’s safety aid (Kerala)</t>
  </si>
  <si>
    <t xml:space="preserve">₹1,000 a month for poor women aged 35–60 not on other pensions</t>
  </si>
  <si>
    <t xml:space="preserve">31.34 lakh women</t>
  </si>
  <si>
    <t xml:space="preserve">₹3,800 crore a year</t>
  </si>
  <si>
    <t xml:space="preserve">Part of about ₹18,000 crore a year of new measures (NIE); the LDF won only 35 of 140 seats.</t>
  </si>
  <si>
    <t xml:space="preserve">hdb243</t>
  </si>
  <si>
    <t xml:space="preserve">https://occult-kranti.github.io/fact-duel/hisaab/#/q/hdb243</t>
  </si>
  <si>
    <t xml:space="preserve">The New Indian Express — CM Pinarayi Vijayan's mini-budget raises questions over fiscal sustainability (30 Oct 2025)</t>
  </si>
  <si>
    <t xml:space="preserve">https://www.newindianexpress.com/states/kerala/2025/Oct/30/cm-pinarayi-vijayans-mini-budget-raises-questions-over-fiscal-sustainability</t>
  </si>
  <si>
    <t xml:space="preserve">tn-pm-kisan-21st-2025</t>
  </si>
  <si>
    <t xml:space="preserve">PM-KISAN 21st instalment (Coimbatore)</t>
  </si>
  <si>
    <t xml:space="preserve">₹2,000 to each eligible farmer family, released at Coimbatore</t>
  </si>
  <si>
    <t xml:space="preserve">Nearly 9 crore farmers</t>
  </si>
  <si>
    <t xml:space="preserve">About ₹18,000 crore</t>
  </si>
  <si>
    <t xml:space="preserve">Tamil Nadu Assembly 2026</t>
  </si>
  <si>
    <t xml:space="preserve">TVK won 108 of 234 seats; DMK 59; AIADMK 47</t>
  </si>
  <si>
    <t xml:space="preserve">Tamil Nadu voted 155 days later; the TVK won 108 of 234 seats.</t>
  </si>
  <si>
    <t xml:space="preserve">hpe224</t>
  </si>
  <si>
    <t xml:space="preserve">https://occult-kranti.github.io/fact-duel/hisaab/#/q/hpe224</t>
  </si>
  <si>
    <t xml:space="preserve">DD News — PM Modi releases 21st instalment of PM-KISAN, ₹18,000 crore transferred to farmers (19 Nov 2025)</t>
  </si>
  <si>
    <t xml:space="preserve">https://ddnews.gov.in/en/pm-modi-releases-21st-instalment-of-pm-kisan-%E2%82%B918000-crore-transferred-to-farmers/</t>
  </si>
  <si>
    <t xml:space="preserve">in-vb-g-ram-g-2025</t>
  </si>
  <si>
    <t xml:space="preserve">2025-12</t>
  </si>
  <si>
    <t xml:space="preserve">VB-G RAM G Act (replaces MGNREGA)</t>
  </si>
  <si>
    <t xml:space="preserve">Shivraj Singh Chouhan (Union Rural Development Minister, BJP)</t>
  </si>
  <si>
    <t xml:space="preserve">125 days of rural wage work a year, with a 60-day pause allowed in peak farm seasons; costs shared 60:40</t>
  </si>
  <si>
    <t xml:space="preserve">₹1,51,282 crore a year needed; ₹95,692 crore the Centre’s share</t>
  </si>
  <si>
    <t xml:space="preserve">Passed amid an opposition walkout; in force from 1 July 2026, with most states now paying 40%.</t>
  </si>
  <si>
    <t xml:space="preserve">hdb039; hsc036; hsc037</t>
  </si>
  <si>
    <t xml:space="preserve">https://occult-kranti.github.io/fact-duel/hisaab/#/q/hdb039 https://occult-kranti.github.io/fact-duel/hisaab/#/q/hsc036 https://occult-kranti.github.io/fact-duel/hisaab/#/q/hsc037</t>
  </si>
  <si>
    <t xml:space="preserve">Hindustan Times — Parliament passes new VB-G RAM G Bill to replace MGNREGA amid Opposition walkout (19 Dec 2025)</t>
  </si>
  <si>
    <t xml:space="preserve">https://www.hindustantimes.com/india-news/parliament-passes-new-vb-g-ram-g-bill-to-replace-mgnrega-amid-opposition-walkout-101766086029025.html</t>
  </si>
  <si>
    <t xml:space="preserve">ap-ntr-bharosa-pensions</t>
  </si>
  <si>
    <t xml:space="preserve">2026</t>
  </si>
  <si>
    <t xml:space="preserve">NTR Bharosa pensions</t>
  </si>
  <si>
    <t xml:space="preserve">₹4,000 a month to most elderly and widow pensioners</t>
  </si>
  <si>
    <t xml:space="preserve">Nearly 62 lakh beneficiaries</t>
  </si>
  <si>
    <t xml:space="preserve">₹33,485 crore allocated 2026-27</t>
  </si>
  <si>
    <t xml:space="preserve">For pensioners aged 60–79 under the central scheme, the Centre pays ₹200 by bank and the state ₹3,800 in cash at the doorstep.</t>
  </si>
  <si>
    <t xml:space="preserve">hst257</t>
  </si>
  <si>
    <t xml:space="preserve">https://occult-kranti.github.io/fact-duel/hisaab/#/q/hst257</t>
  </si>
  <si>
    <t xml:space="preserve">The New Indian Express — Rs 33,485 crore for NTR Bharosa pensions in 2026-27 (23 Sep 2026)</t>
  </si>
  <si>
    <t xml:space="preserve">https://www.newindianexpress.com/states/andhra-pradesh/2026/Sep/23/rs-33485-crore-for-ntr-bharosa-pensions-in-2026-27-minister-kondapalli-srinivas</t>
  </si>
  <si>
    <t xml:space="preserve">in-16th-fc-disaster-corpus-2026</t>
  </si>
  <si>
    <t xml:space="preserve">Disaster corpus 2026–31 (16th Finance Commission)</t>
  </si>
  <si>
    <t xml:space="preserve">Record disaster corpus; heatwave and lightning recommended for the national list</t>
  </si>
  <si>
    <t xml:space="preserve">₹2,83,807 crore (₹2,04,401 crore state, ₹79,406 crore national)</t>
  </si>
  <si>
    <t xml:space="preserve">Recommended; the committee urged the MHA to notify both hazards (lightning caused 35.8% of natural-hazard deaths in 2022).</t>
  </si>
  <si>
    <t xml:space="preserve">hrf038</t>
  </si>
  <si>
    <t xml:space="preserve">https://occult-kranti.github.io/fact-duel/hisaab/#/q/hrf038</t>
  </si>
  <si>
    <t xml:space="preserve">Rajya Sabha Standing Committee on Home Affairs — 261st Report (Aug 2026), paras 2.13.21–2.13.25</t>
  </si>
  <si>
    <t xml:space="preserve">mh-ladki-bahin-advance-2026</t>
  </si>
  <si>
    <t xml:space="preserve">2026-01</t>
  </si>
  <si>
    <t xml:space="preserve">Ladki Bahin advance instalment (barred)</t>
  </si>
  <si>
    <t xml:space="preserve">Girish Mahajan (Minister, Maharashtra (announced the advance), BJP); Devendra Fadnavis (Chief Minister, Maharashtra, BJP)</t>
  </si>
  <si>
    <t xml:space="preserve">A ₹3,000 double instalment announced for the eve of the municipal polls</t>
  </si>
  <si>
    <t xml:space="preserve">Maharashtra municipal polls (incl. BMC), Jan 2026</t>
  </si>
  <si>
    <t xml:space="preserve">BJP won 89 of 227 BMC wards; with Shinde Sena (29) the allies hold 118</t>
  </si>
  <si>
    <t xml:space="preserve">The State Election Commission barred the advance; ongoing payments continued. BJP 89 of 227 BMC wards; allies 118.</t>
  </si>
  <si>
    <t xml:space="preserve">hpe147</t>
  </si>
  <si>
    <t xml:space="preserve">https://occult-kranti.github.io/fact-duel/hisaab/#/q/hpe147</t>
  </si>
  <si>
    <t xml:space="preserve">The Hindu — 'Ladki Bahin' scheme: State Election Commission bars Maharashtra govt from releasing advance installment (12 Jan 2026)</t>
  </si>
  <si>
    <t xml:space="preserve">https://www.thehindu.com/news/national/maharashtra/ladki-bahin-scheme-maharashtra-election-commission-model-code-polls/article70501117.ece</t>
  </si>
  <si>
    <t xml:space="preserve">tn-pongal-cash-2026</t>
  </si>
  <si>
    <t xml:space="preserve">Pongal cash gift ₹3,000</t>
  </si>
  <si>
    <t xml:space="preserve">₹3,000 per rice ration card</t>
  </si>
  <si>
    <t xml:space="preserve">About 2.23 crore cards</t>
  </si>
  <si>
    <t xml:space="preserve">₹6,936.18 crore</t>
  </si>
  <si>
    <t xml:space="preserve">TVK won 108 of 234; DMK 59; AIADMK 47 (ECI)</t>
  </si>
  <si>
    <t xml:space="preserve">Announced 109 days before polling; the TVK won 108 of 234 and the DMK fell to 59.</t>
  </si>
  <si>
    <t xml:space="preserve">hpe149</t>
  </si>
  <si>
    <t xml:space="preserve">https://occult-kranti.github.io/fact-duel/hisaab/#/q/hpe149</t>
  </si>
  <si>
    <t xml:space="preserve">The New Indian Express — Tamil Nadu government announces Rs 3,000 cash assistance per ration card ahead of Pongal (4 Jan 2026)</t>
  </si>
  <si>
    <t xml:space="preserve">https://www.newindianexpress.com/states/tamil-nadu/2026/Jan/04/tamil-nadu-government-announces-rs-3000-cash-assistance-per-ration-card-ahead-of-pongal</t>
  </si>
  <si>
    <t xml:space="preserve">in-budget-2026-poll-states</t>
  </si>
  <si>
    <t xml:space="preserve">2026-02</t>
  </si>
  <si>
    <t xml:space="preserve">Union Budget 2026-27 before four-state polls</t>
  </si>
  <si>
    <t xml:space="preserve">Rare-earth corridors named for Kerala and Tamil Nadu among others; no specific allocations for poll-bound states</t>
  </si>
  <si>
    <t xml:space="preserve">Assembly polls in 4 states and Puducherry, 2026</t>
  </si>
  <si>
    <t xml:space="preserve">BJP-led alliance won West Bengal (207 of 294) and Assam; TVK largest in Tamil Nadu (108 of 234); UDF won Kerala</t>
  </si>
  <si>
    <t xml:space="preserve">Budgets since 2014 named 21 of 72 poll-bound states (UPA: 24 of 70), IE counted. The BJP-led alliance won Bengal and Assam.</t>
  </si>
  <si>
    <t xml:space="preserve">hpe041; hpe042</t>
  </si>
  <si>
    <t xml:space="preserve">https://occult-kranti.github.io/fact-duel/hisaab/#/q/hpe041 https://occult-kranti.github.io/fact-duel/hisaab/#/q/hpe042</t>
  </si>
  <si>
    <t xml:space="preserve">indiabudget.gov.in — Budget Speech 2026-27, Nirmala Sitharaman (1 Feb 2026)</t>
  </si>
  <si>
    <t xml:space="preserve">https://www.indiabudget.gov.in/doc/Budget_Speech.pdf</t>
  </si>
  <si>
    <t xml:space="preserve">tn-magalir-urimai-5000-2026</t>
  </si>
  <si>
    <t xml:space="preserve">Magalir Urimai ₹5,000 payout</t>
  </si>
  <si>
    <t xml:space="preserve">₹5,000 each, including a ₹2,000 ‘special summer assistance’</t>
  </si>
  <si>
    <t xml:space="preserve">1.31 crore women</t>
  </si>
  <si>
    <t xml:space="preserve">The AIADMK called it ‘fear of election defeat’; the TVK won 108 of 234 and the DMK 59.</t>
  </si>
  <si>
    <t xml:space="preserve">hst248</t>
  </si>
  <si>
    <t xml:space="preserve">https://occult-kranti.github.io/fact-duel/hisaab/#/q/hst248</t>
  </si>
  <si>
    <t xml:space="preserve">The Hindu — Opposition parties slam Tamil Nadu CM Stalin’s ₹5,000 payout to women under Kalaignar Magalir Urimai scheme (13 Feb 2026)</t>
  </si>
  <si>
    <t xml:space="preserve">https://www.thehindu.com/news/national/tamil-nadu/opposition-parties-slam-tamil-nadu-cm-stalin-5000-payout-to-women-under-kalaignar-magalir-urimai-thogai-scheme/article70627629.ece</t>
  </si>
  <si>
    <t xml:space="preserve">wb-lakshmir-bhandar-hike-2026</t>
  </si>
  <si>
    <t xml:space="preserve">Lakshmir Bhandar raised by ₹500 (2026)</t>
  </si>
  <si>
    <t xml:space="preserve">Chandrima Bhattacharya (Minister of State (Finance), West Bengal, TMC)</t>
  </si>
  <si>
    <t xml:space="preserve">Payments raised to ₹1,500 (general) and ₹1,700 (SC/ST) a month</t>
  </si>
  <si>
    <t xml:space="preserve">2,20,25,342 women</t>
  </si>
  <si>
    <t xml:space="preserve">West Bengal Assembly 2026</t>
  </si>
  <si>
    <t xml:space="preserve">BJP won 207 seats, TMC 80 (ECI); first BJP government in the state</t>
  </si>
  <si>
    <t xml:space="preserve">Announced 77 days before polling; the BJP won 207 of 294, ending 15 years of TMC rule.</t>
  </si>
  <si>
    <t xml:space="preserve">hdb307</t>
  </si>
  <si>
    <t xml:space="preserve">https://occult-kranti.github.io/fact-duel/hisaab/#/q/hdb307</t>
  </si>
  <si>
    <t xml:space="preserve">The Indian Express — Ahead of Bengal 2026 Assembly elections, TMC govt announces Rs 500 hike for Lakshmir Bhandar beneficiaries (5 Feb 2026)</t>
  </si>
  <si>
    <t xml:space="preserve">https://indianexpress.com/article/cities/kolkata/ahead-of-bengal-2026-assembly-elections-tmc-govt-announces-rs-500-hike-for-lakshmir-bhandar-beneficiaries-10515653/</t>
  </si>
  <si>
    <t xml:space="preserve">wb-yuba-sathi-2026</t>
  </si>
  <si>
    <t xml:space="preserve">Banglar Yuba-Sathi</t>
  </si>
  <si>
    <t xml:space="preserve">Chandrima Bhattacharya (Finance Minister, West Bengal, TMC); Mamata Banerjee (Chief Minister, West Bengal (advanced the start), TMC)</t>
  </si>
  <si>
    <t xml:space="preserve">₹1,500 a month for jobless Madhyamik-pass youth aged 21–40</t>
  </si>
  <si>
    <t xml:space="preserve">90 lakh to 1 crore applicants (CM)</t>
  </si>
  <si>
    <t xml:space="preserve">₹5,000 crore (2026-27)</t>
  </si>
  <si>
    <t xml:space="preserve">BJP won 207 of 294; TMC 80 (ECI)</t>
  </si>
  <si>
    <t xml:space="preserve">The CM advanced the start and said transfers began on 7 March 2026; the BJP won 207 of 294 and offered ₹3,000 a month under its own scheme.</t>
  </si>
  <si>
    <t xml:space="preserve">hpe148</t>
  </si>
  <si>
    <t xml:space="preserve">https://occult-kranti.github.io/fact-duel/hisaab/#/q/hpe148</t>
  </si>
  <si>
    <t xml:space="preserve">Times of India — West Bengal VOA: Yuba-Sathi debuts, social schemes get fund boost in poll year (6 Feb 2026)</t>
  </si>
  <si>
    <t xml:space="preserve">https://timesofindia.indiatimes.com/city/kolkata/west-bengal-voa-yuba-sathi-debuts-social-schemes-get-fund-boost-in-poll-year/articleshow/127972109.cms</t>
  </si>
  <si>
    <t xml:space="preserve">as-orunodoi-lump-sum-2026</t>
  </si>
  <si>
    <t xml:space="preserve">2026-03</t>
  </si>
  <si>
    <t xml:space="preserve">Orunodoi lump-sum transfer</t>
  </si>
  <si>
    <t xml:space="preserve">₹9,000 each in one transfer: four months’ benefit plus a ₹4,000 festive bonus</t>
  </si>
  <si>
    <t xml:space="preserve">About 40 lakh women</t>
  </si>
  <si>
    <t xml:space="preserve">Orunodoi 2025-26 spend revised to ₹6,000 crore (PRS)</t>
  </si>
  <si>
    <t xml:space="preserve">Paid 30 days before Assam voted; the BJP won 82 of 126 seats as the NDA took a third straight term.</t>
  </si>
  <si>
    <t xml:space="preserve">hst321</t>
  </si>
  <si>
    <t xml:space="preserve">https://occult-kranti.github.io/fact-duel/hisaab/#/q/hst321</t>
  </si>
  <si>
    <t xml:space="preserve">mn-womens-shg-2026</t>
  </si>
  <si>
    <t xml:space="preserve">Women’s SHG assistance (Manipur)</t>
  </si>
  <si>
    <t xml:space="preserve">Y. Khemchand Singh (Chief Minister, Manipur, BJP)</t>
  </si>
  <si>
    <t xml:space="preserve">₹10,000 by DBT in year one to women in self-help groups</t>
  </si>
  <si>
    <t xml:space="preserve">3.5 lakh women over three years</t>
  </si>
  <si>
    <t xml:space="preserve">₹350 crore (2026-27)</t>
  </si>
  <si>
    <t xml:space="preserve">No payout figures had been found by September 2026.</t>
  </si>
  <si>
    <t xml:space="preserve">hdb423</t>
  </si>
  <si>
    <t xml:space="preserve">https://occult-kranti.github.io/fact-duel/hisaab/#/q/hdb423</t>
  </si>
  <si>
    <t xml:space="preserve">PRS Legislative Research — Manipur Budget Analysis 2026-27</t>
  </si>
  <si>
    <t xml:space="preserve">pb-mawan-dhiyan-satikar-2026</t>
  </si>
  <si>
    <t xml:space="preserve">Mukh Mantri Mawan Dhiyan Satikar Yojana</t>
  </si>
  <si>
    <t xml:space="preserve">Bhagwant Mann (Chief Minister, Punjab, AAP); Harpal Singh Cheema (Finance Minister, Punjab, AAP)</t>
  </si>
  <si>
    <t xml:space="preserve">₹1,000 a month for adult women, more for some groups; about 97% qualify</t>
  </si>
  <si>
    <t xml:space="preserve">76.11 lakh women registered by Aug 2026</t>
  </si>
  <si>
    <t xml:space="preserve">₹9,300 crore (2026-27)</t>
  </si>
  <si>
    <t xml:space="preserve">Funded nearly four years after the 2022 promise; a PIL challenges its voter-ID requirement. Punjab votes by early 2027.</t>
  </si>
  <si>
    <t xml:space="preserve">hdb141</t>
  </si>
  <si>
    <t xml:space="preserve">https://occult-kranti.github.io/fact-duel/hisaab/#/q/hdb141</t>
  </si>
  <si>
    <t xml:space="preserve">The Indian Express — Punjab Budget 2026: AAP fulfills pre-poll guarantee with monthly cash for 97% women (8 Mar 2026)</t>
  </si>
  <si>
    <t xml:space="preserve">https://indianexpress.com/article/cities/chandigarh/punjab-budget-2026-women-monthly-assistance-mawan-dhiyan-satikar-yojana-10571040/</t>
  </si>
  <si>
    <t xml:space="preserve">ut-nanda-gaura</t>
  </si>
  <si>
    <t xml:space="preserve">Nanda Gaura Yojana</t>
  </si>
  <si>
    <t xml:space="preserve">Pushkar Singh Dhami (Chief Minister, Uttarakhand, BJP)</t>
  </si>
  <si>
    <t xml:space="preserve">₹11,000 at birth and ₹51,000 after Class 12 for girls in eligible families</t>
  </si>
  <si>
    <t xml:space="preserve">3,77,784 girls since inception</t>
  </si>
  <si>
    <t xml:space="preserve">₹1,168.49 crore since inception; ₹145.93 crore for 2025-26</t>
  </si>
  <si>
    <t xml:space="preserve">₹145.93 crore went to 33,251 girls in March 2026 (state figures).</t>
  </si>
  <si>
    <t xml:space="preserve">hdb142</t>
  </si>
  <si>
    <t xml:space="preserve">https://occult-kranti.github.io/fact-duel/hisaab/#/q/hdb142</t>
  </si>
  <si>
    <t xml:space="preserve">Garhwal Post — CM transfers Rs 145.93 crores to beneficiaries under Nanda Gaura Yojana through DBT (2 Mar 2026)</t>
  </si>
  <si>
    <t xml:space="preserve">https://garhwalpost.in/cm-transfers-rs-145-93-crores-to-beneficiaries-under-nanda-gaura-yojana-through-dbt/</t>
  </si>
  <si>
    <t xml:space="preserve">kl-oommen-chandy-health-insurance-2026</t>
  </si>
  <si>
    <t xml:space="preserve">2026-06</t>
  </si>
  <si>
    <t xml:space="preserve">Oommen Chandy Health Insurance</t>
  </si>
  <si>
    <t xml:space="preserve">V. D. Satheesan (Chief Minister, Kerala (presented the 2026-27 budget), INC)</t>
  </si>
  <si>
    <t xml:space="preserve">Health cover up to ₹25 lakh for all families</t>
  </si>
  <si>
    <t xml:space="preserve">Announced in the UDF government’s first budget; the bank holds no enrolment figures yet.</t>
  </si>
  <si>
    <t xml:space="preserve">hst244</t>
  </si>
  <si>
    <t xml:space="preserve">https://occult-kranti.github.io/fact-duel/hisaab/#/q/hst244</t>
  </si>
  <si>
    <t xml:space="preserve">PRS Legislative Research — Kerala Budget Analysis 2026-27 (2026)</t>
  </si>
  <si>
    <t xml:space="preserve">https://prsindia.org/budgets/states/kerala-budget-analysis-2026-27</t>
  </si>
  <si>
    <t xml:space="preserve">wb-annapurna-bhandar-2026</t>
  </si>
  <si>
    <t xml:space="preserve">2026-07</t>
  </si>
  <si>
    <t xml:space="preserve">Annapurna Bhandar</t>
  </si>
  <si>
    <t xml:space="preserve">Suvendu Adhikari (Chief Minister, West Bengal, BJP)</t>
  </si>
  <si>
    <t xml:space="preserve">₹3,000 a month for eligible women, replacing Lakshmir Bhandar with stricter rules</t>
  </si>
  <si>
    <t xml:space="preserve">1.58 crore women paid (Sept 2026); 26 lakh applications rejected at first</t>
  </si>
  <si>
    <t xml:space="preserve">₹36,000 crore (2026-27)</t>
  </si>
  <si>
    <t xml:space="preserve">Promised to all women before the poll; the TMC accused the BJP of adding conditions afterwards.</t>
  </si>
  <si>
    <t xml:space="preserve">hdb338; hst307</t>
  </si>
  <si>
    <t xml:space="preserve">https://occult-kranti.github.io/fact-duel/hisaab/#/q/hdb338 https://occult-kranti.github.io/fact-duel/hisaab/#/q/hst307</t>
  </si>
  <si>
    <t xml:space="preserve">The Indian Express — Annapurna Yojana first tranche credited; 26 lakh applications rejected (1 Jul 2026)</t>
  </si>
  <si>
    <t xml:space="preserve">https://indianexpress.com/article/cities/kolkata/annapurna-yojana-first-tranche-credited-26-lakh-applications-rejected-suvendu-adhikari-10766931/</t>
  </si>
  <si>
    <t xml:space="preserve">wb-ayushman-bharat-rollout-2026</t>
  </si>
  <si>
    <t xml:space="preserve">Ayushman Bharat replaces Swasthya Sathi (Bengal)</t>
  </si>
  <si>
    <t xml:space="preserve">Swasthya Sathi families moved onto Ayushman Bharat cards, the state paying premiums beyond the central list</t>
  </si>
  <si>
    <t xml:space="preserve">About 2.45 crore Swasthya Sathi families</t>
  </si>
  <si>
    <t xml:space="preserve">Ends a long Centre–state impasse; card co-branding was undecided in June 2026.</t>
  </si>
  <si>
    <t xml:space="preserve">hdb310</t>
  </si>
  <si>
    <t xml:space="preserve">https://occult-kranti.github.io/fact-duel/hisaab/#/q/hdb310</t>
  </si>
  <si>
    <t xml:space="preserve">The Indian Express — With Ayushman Bharat roll-out in Bengal, what happens to Swasthya Sathi beneficiaries? (9 Jun 2026)</t>
  </si>
  <si>
    <t xml:space="preserve">https://indianexpress.com/article/explained/ayushman-bharat-launch-swasthya-sathi-west-bengal-suvendu-adhikari-10730450/</t>
  </si>
  <si>
    <t xml:space="preserve">tn-free-bus-deluxe-2026</t>
  </si>
  <si>
    <t xml:space="preserve">2026-08</t>
  </si>
  <si>
    <t xml:space="preserve">Free bus travel extended to deluxe buses</t>
  </si>
  <si>
    <t xml:space="preserve">TVK</t>
  </si>
  <si>
    <t xml:space="preserve">C. Joseph Vijay (Chief Minister, Tamil Nadu, TVK)</t>
  </si>
  <si>
    <t xml:space="preserve">Free travel for women extended to deluxe, express and mofussil buses, no income ceiling</t>
  </si>
  <si>
    <t xml:space="preserve">About 84.32 lakh women a day on 12,692 buses (planned)</t>
  </si>
  <si>
    <t xml:space="preserve">About ₹6,000 crore a year</t>
  </si>
  <si>
    <t xml:space="preserve">Set to start on 2 October 2026, except in two districts under a bypoll code.</t>
  </si>
  <si>
    <t xml:space="preserve">hdb424</t>
  </si>
  <si>
    <t xml:space="preserve">https://occult-kranti.github.io/fact-duel/hisaab/#/q/hdb424</t>
  </si>
  <si>
    <t xml:space="preserve">The New Indian Express — TN government expands free bus travel for women to deluxe, mofussil buses (25 Aug 2026)</t>
  </si>
  <si>
    <t xml:space="preserve">https://www.newindianexpress.com/states/tamil-nadu/2026/Aug/25/tn-government-expands-free-bus-travel-for-women-to-deluxe-mofussil-buses</t>
  </si>
  <si>
    <t xml:space="preserve">ut-free-roadways-women-2026</t>
  </si>
  <si>
    <t xml:space="preserve">Free Roadways travel for women 60+</t>
  </si>
  <si>
    <t xml:space="preserve">Free Uttarakhand Roadways travel for women from 60 (down from 65); pink e-buses</t>
  </si>
  <si>
    <t xml:space="preserve">Announced on Raksha Bandhan 2026; the next Assembly poll is due by early 2027.</t>
  </si>
  <si>
    <t xml:space="preserve">hdb145</t>
  </si>
  <si>
    <t xml:space="preserve">https://occult-kranti.github.io/fact-duel/hisaab/#/q/hdb145</t>
  </si>
  <si>
    <t xml:space="preserve">The Times of India — Uttarakhand CM Dhami announces free bus travel, Pink e-Buses for women on Raksha Bandhan (28 Aug 2026)</t>
  </si>
  <si>
    <t xml:space="preserve">https://timesofindia.indiatimes.com/india/uttarakhand-cm-dhami-announces-free-bus-travel-pink-e-buses-for-women-on-raksha-bandhan/articleshow/133593963.cms</t>
  </si>
  <si>
    <t xml:space="preserve">wb-kanya-ratna-2026</t>
  </si>
  <si>
    <t xml:space="preserve">Kanya Ratna (Kanyashree renamed)</t>
  </si>
  <si>
    <t xml:space="preserve">Yearly scholarship to double from ₹1,000 to ₹2,000 from 2027; ₹25,000 at 18 kept</t>
  </si>
  <si>
    <t xml:space="preserve">9.48 lakh girls paid on 14 Aug 2026</t>
  </si>
  <si>
    <t xml:space="preserve">₹418 crore that day</t>
  </si>
  <si>
    <t xml:space="preserve">Bengal also joined the Centre’s Beti Bachao Beti Padhao the same day.</t>
  </si>
  <si>
    <t xml:space="preserve">hdb309</t>
  </si>
  <si>
    <t xml:space="preserve">https://occult-kranti.github.io/fact-duel/hisaab/#/q/hdb309</t>
  </si>
  <si>
    <t xml:space="preserve">The Indian Express — Bengal joins 'Beti Bachao, Beti Padhao'; Rs 2k aid for schoolgirls from 2027 (15 Aug 2026)</t>
  </si>
  <si>
    <t xml:space="preserve">https://indianexpress.com/article/cities/kolkata/bengal-joins-beti-bachao-beti-padhao-suvendu-adhikari-10834375/</t>
  </si>
  <si>
    <t xml:space="preserve">Year</t>
  </si>
  <si>
    <t xml:space="preserve">Seedha Khaate Mein (distribution)</t>
  </si>
  <si>
    <t xml:space="preserve">Rahat Kosh (relief)</t>
  </si>
  <si>
    <t xml:space="preserve">Chunav Se Pehle (pre-election)</t>
  </si>
  <si>
    <t xml:space="preserve">All measures</t>
  </si>
  <si>
    <t xml:space="preserve">Named the poll it preceded</t>
  </si>
  <si>
    <t xml:space="preserve">Total</t>
  </si>
  <si>
    <t xml:space="preserve">Check</t>
  </si>
  <si>
    <t xml:space="preserve">rows on the Ledger sheet; equals the All measures total above.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</si>
</sst>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name val="Arial"/>
      <family val="0"/>
      <charset val="1"/>
    </font>
    <font>
      <u val="single"/>
      <sz val="11"/>
      <color rgb="FF0563C1"/>
      <name val="Arial"/>
      <family val="0"/>
      <charset val="1"/>
    </font>
    <font>
      <b val="true"/>
      <sz val="12"/>
      <name val="Arial"/>
      <family val="0"/>
      <charset val="1"/>
    </font>
    <font>
      <i val="true"/>
      <sz val="11"/>
      <name val="Arial"/>
      <family val="0"/>
      <charset val="1"/>
    </font>
  </fonts>
  <fills count="3">
    <fill>
      <patternFill patternType="none"/>
    </fill>
    <fill>
      <patternFill patternType="gray125"/>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E7E6E6"/>
          <bgColor rgb="FF000000"/>
        </patternFill>
      </fill>
    </dxf>
    <dxf>
      <fill>
        <patternFill patternType="solid">
          <bgColor rgb="FF000000"/>
        </patternFill>
      </fill>
    </dxf>
    <dxf>
      <fill>
        <patternFill patternType="solid">
          <fgColor rgb="FF0563C1"/>
          <bgColor rgb="FF000000"/>
        </patternFill>
      </fill>
    </dxf>
  </dxf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occult-kranti.github.io/fact-duel/hisaab/"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frontline.thehindu.com/environment/article30253968.ece" TargetMode="External"/><Relationship Id="rId2" Type="http://schemas.openxmlformats.org/officeDocument/2006/relationships/hyperlink" Target="https://fincomindia.nic.in/asset/doc/commission-reports/11th-FC/11threport.pdf" TargetMode="External"/><Relationship Id="rId3" Type="http://schemas.openxmlformats.org/officeDocument/2006/relationships/hyperlink" Target="https://bucketapi.rajyasabha.digital/public-bucket/uploads/committee/2026_08_21_committee_3339_976_6a881941b462a.pdf" TargetMode="External"/><Relationship Id="rId4" Type="http://schemas.openxmlformats.org/officeDocument/2006/relationships/hyperlink" Target="https://frontline.thehindu.com/politics/article30250696.ece" TargetMode="External"/><Relationship Id="rId5" Type="http://schemas.openxmlformats.org/officeDocument/2006/relationships/hyperlink" Target="https://www.indiabudget.gov.in/budget_archive/ub2000-01/bs/bsa5.htm" TargetMode="External"/><Relationship Id="rId6" Type="http://schemas.openxmlformats.org/officeDocument/2006/relationships/hyperlink" Target="https://nfsa.gov.in/portal/PDS_page" TargetMode="External"/><Relationship Id="rId7" Type="http://schemas.openxmlformats.org/officeDocument/2006/relationships/hyperlink" Target="https://frontline.thehindu.com/other/article30249961.ece" TargetMode="External"/><Relationship Id="rId8" Type="http://schemas.openxmlformats.org/officeDocument/2006/relationships/hyperlink" Target="https://www.thehindu.com/news/national/other-states/behind-the-bjds-electoral-successes-in-odisha-are-women-shgs/article66022675.ece" TargetMode="External"/><Relationship Id="rId9" Type="http://schemas.openxmlformats.org/officeDocument/2006/relationships/hyperlink" Target="https://www.indiatoday.in/magazine/states/story/20010305-gujarat-cm-keshubhai-patel-fitness-to-rule-grows-after-failure-to-provide-quake-relief-775615-2001-03-04" TargetMode="External"/><Relationship Id="rId10" Type="http://schemas.openxmlformats.org/officeDocument/2006/relationships/hyperlink" Target="https://www.indiabudget.gov.in/doc/memo.pdf" TargetMode="External"/><Relationship Id="rId11" Type="http://schemas.openxmlformats.org/officeDocument/2006/relationships/hyperlink" Target="https://www.indiabudget.gov.in/budget_archive/ub2002-03/bs/speech_a.htm" TargetMode="External"/><Relationship Id="rId12" Type="http://schemas.openxmlformats.org/officeDocument/2006/relationships/hyperlink" Target="https://frontline.thehindu.com/other/article30245718.ece" TargetMode="External"/><Relationship Id="rId13" Type="http://schemas.openxmlformats.org/officeDocument/2006/relationships/hyperlink" Target="https://frontline.thehindu.com/the-nation/article30217066.ece" TargetMode="External"/><Relationship Id="rId14" Type="http://schemas.openxmlformats.org/officeDocument/2006/relationships/hyperlink" Target="https://www.thegoan.net/goa-news/another-bonanza-on-cards-govt-to-enhance-dsss-griha-aadhar-by-rs-500/153962.html" TargetMode="External"/><Relationship Id="rId15" Type="http://schemas.openxmlformats.org/officeDocument/2006/relationships/hyperlink" Target="https://www.indiabudget.gov.in/budget_archive/es2002-03/chapt2003/chap83.pdf" TargetMode="External"/><Relationship Id="rId16" Type="http://schemas.openxmlformats.org/officeDocument/2006/relationships/hyperlink" Target="https://frontline.thehindu.com/politics/playing-the-piper/article5389646.ece" TargetMode="External"/><Relationship Id="rId17" Type="http://schemas.openxmlformats.org/officeDocument/2006/relationships/hyperlink" Target="https://frontline.thehindu.com/the-nation/article30216871.ece" TargetMode="External"/><Relationship Id="rId18" Type="http://schemas.openxmlformats.org/officeDocument/2006/relationships/hyperlink" Target="https://frontline.thehindu.com/other/article30245094.ece" TargetMode="External"/><Relationship Id="rId19" Type="http://schemas.openxmlformats.org/officeDocument/2006/relationships/hyperlink" Target="https://indianexpress.com/article/cities/chandigarh/power-subsidy-social-security-architect-populist-schemes-8576206/" TargetMode="External"/><Relationship Id="rId20" Type="http://schemas.openxmlformats.org/officeDocument/2006/relationships/hyperlink" Target="https://www.rediff.com/news/interview/inter/20030531.htm" TargetMode="External"/><Relationship Id="rId21" Type="http://schemas.openxmlformats.org/officeDocument/2006/relationships/hyperlink" Target="https://frontline.thehindu.com/other/article30215779.ece" TargetMode="External"/><Relationship Id="rId22" Type="http://schemas.openxmlformats.org/officeDocument/2006/relationships/hyperlink" Target="https://www.indiabudget.gov.in/budget_archive/ub2003-04/bs/speecha.htm" TargetMode="External"/><Relationship Id="rId23" Type="http://schemas.openxmlformats.org/officeDocument/2006/relationships/hyperlink" Target="https://economictimes.indiatimes.com/industry/energy/oil-gas/budget-2026-oil-industry-seeks-abolition-or-review-of-oid-cess-on-pre-nelp-and-nomination-blocks/articleshow/126545404.cms" TargetMode="External"/><Relationship Id="rId24" Type="http://schemas.openxmlformats.org/officeDocument/2006/relationships/hyperlink" Target="https://www.indiabudget.gov.in/budget_archive/ub2003-04/bs/speecha.htm" TargetMode="External"/><Relationship Id="rId25" Type="http://schemas.openxmlformats.org/officeDocument/2006/relationships/hyperlink" Target="https://timesofindia.indiatimes.com/city/hyderabad/naidus-major-sops-for-farmers/articleshow/47811599.cms" TargetMode="External"/><Relationship Id="rId26" Type="http://schemas.openxmlformats.org/officeDocument/2006/relationships/hyperlink" Target="https://timesofindia.indiatimes.com/city/bengaluru/krishna-moots-yeshasvini-scheme-for-other-sectors/articleshow/49404.cms" TargetMode="External"/><Relationship Id="rId27" Type="http://schemas.openxmlformats.org/officeDocument/2006/relationships/hyperlink" Target="https://www.rediff.com/business/special/shining/20040402.htm" TargetMode="External"/><Relationship Id="rId28" Type="http://schemas.openxmlformats.org/officeDocument/2006/relationships/hyperlink" Target="https://frontline.thehindu.com/cover-story/article30223009.ece" TargetMode="External"/><Relationship Id="rId29" Type="http://schemas.openxmlformats.org/officeDocument/2006/relationships/hyperlink" Target="https://www.rediff.com/business/report/bud12/20040108.htm" TargetMode="External"/><Relationship Id="rId30" Type="http://schemas.openxmlformats.org/officeDocument/2006/relationships/hyperlink" Target="https://www.indiabudget.gov.in/budget_archive/ub2004-05(I)/bs/speecha.htm" TargetMode="External"/><Relationship Id="rId31" Type="http://schemas.openxmlformats.org/officeDocument/2006/relationships/hyperlink" Target="https://www.indiabudget.gov.in/budget_archive/ub2004-05(I)/bs/speecha.htm" TargetMode="External"/><Relationship Id="rId32" Type="http://schemas.openxmlformats.org/officeDocument/2006/relationships/hyperlink" Target="https://www.indiabudget.gov.in/budget_archive/ub2004-05(I)/bs/speecha.htm" TargetMode="External"/><Relationship Id="rId33" Type="http://schemas.openxmlformats.org/officeDocument/2006/relationships/hyperlink" Target="https://www.altnews.in/did-upa-govt-build-only-one-aiims-institute-during-their-tenure-false-claim-viral/" TargetMode="External"/><Relationship Id="rId34" Type="http://schemas.openxmlformats.org/officeDocument/2006/relationships/hyperlink" Target="https://timesofindia.indiatimes.com/city/hyderabad/farmers-to-get-free-power/articleshow/676611.cms" TargetMode="External"/><Relationship Id="rId35" Type="http://schemas.openxmlformats.org/officeDocument/2006/relationships/hyperlink" Target="https://timesofindia.indiatimes.com/india/jaya-on-a-roll-power-rates-go-back-2-yrs/articleshow/711517.cms" TargetMode="External"/><Relationship Id="rId36" Type="http://schemas.openxmlformats.org/officeDocument/2006/relationships/hyperlink" Target="https://frontline.thehindu.com/other/article30223930.ece" TargetMode="External"/><Relationship Id="rId37" Type="http://schemas.openxmlformats.org/officeDocument/2006/relationships/hyperlink" Target="https://www.indiabudget.gov.in/budget_archive/ub2004-05/bs/speecha.htm" TargetMode="External"/><Relationship Id="rId38" Type="http://schemas.openxmlformats.org/officeDocument/2006/relationships/hyperlink" Target="https://timesofindia.indiatimes.com/city/pune/free-power-for-farmers-only-up-to-march/articleshow/816832.cms" TargetMode="External"/><Relationship Id="rId39" Type="http://schemas.openxmlformats.org/officeDocument/2006/relationships/hyperlink" Target="https://socialjusticehry.gov.in/old-age-samman-allowance-scheme/" TargetMode="External"/><Relationship Id="rId40" Type="http://schemas.openxmlformats.org/officeDocument/2006/relationships/hyperlink" Target="https://indianexpress.com/article/india/kerala-floods-on-foreign-aid-india-follows-policy-set-in-tsunami-aftermath-5318338/" TargetMode="External"/><Relationship Id="rId41" Type="http://schemas.openxmlformats.org/officeDocument/2006/relationships/hyperlink" Target="https://bucketapi.rajyasabha.digital/public-bucket/uploads/committee/2026_08_21_committee_3339_976_6a881941b462a.pdf" TargetMode="External"/><Relationship Id="rId42" Type="http://schemas.openxmlformats.org/officeDocument/2006/relationships/hyperlink" Target="https://frontline.thehindu.com/other/article30164012.ece" TargetMode="External"/><Relationship Id="rId43" Type="http://schemas.openxmlformats.org/officeDocument/2006/relationships/hyperlink" Target="https://frontline.thehindu.com/cover-story/article30203386.ece" TargetMode="External"/><Relationship Id="rId44" Type="http://schemas.openxmlformats.org/officeDocument/2006/relationships/hyperlink" Target="https://www.indiabudget.gov.in/budget_archive/ub2005-06/bs/speecha.htm" TargetMode="External"/><Relationship Id="rId45" Type="http://schemas.openxmlformats.org/officeDocument/2006/relationships/hyperlink" Target="https://nhm.gov.in/index1.php?lang=1&amp;level=3&amp;sublinkid=841&amp;lid=309" TargetMode="External"/><Relationship Id="rId46" Type="http://schemas.openxmlformats.org/officeDocument/2006/relationships/hyperlink" Target="https://frontline.thehindu.com/cover-story/article30206092.ece" TargetMode="External"/><Relationship Id="rId47" Type="http://schemas.openxmlformats.org/officeDocument/2006/relationships/hyperlink" Target="https://www.outlookindia.com/opinion/india-news-2007-punjab-legislative-assembly-elections-news-305311" TargetMode="External"/><Relationship Id="rId48" Type="http://schemas.openxmlformats.org/officeDocument/2006/relationships/hyperlink" Target="https://journals.plos.org/plosone/article?id=10.1371/journal.pone.0095704" TargetMode="External"/><Relationship Id="rId49" Type="http://schemas.openxmlformats.org/officeDocument/2006/relationships/hyperlink" Target="https://prsindia.org/files/bills_acts/bills_parliament/2024/Disaster_Management_Act_2005.pdf" TargetMode="External"/><Relationship Id="rId50" Type="http://schemas.openxmlformats.org/officeDocument/2006/relationships/hyperlink" Target="https://www.rediff.com/news/report/stampede/20060127.htm" TargetMode="External"/><Relationship Id="rId51" Type="http://schemas.openxmlformats.org/officeDocument/2006/relationships/hyperlink" Target="https://indianexpress.com/article/long-reads/two-decades-ago-nitish-distributed-cycles-to-girls-in-class-9-where-are-they-now-10360460/" TargetMode="External"/><Relationship Id="rId52" Type="http://schemas.openxmlformats.org/officeDocument/2006/relationships/hyperlink" Target="https://www.newindianexpress.com/states/kerala/2013/Mar/20/grave-lapses-in-tsunami-rehabilitation-programme-460171.html" TargetMode="External"/><Relationship Id="rId53" Type="http://schemas.openxmlformats.org/officeDocument/2006/relationships/hyperlink" Target="https://www.thehindu.com/news/national/andhra-pradesh/nregs-transforms-bandlapalli-where-it-was-launched-in-2006/article33721578.ece" TargetMode="External"/><Relationship Id="rId54" Type="http://schemas.openxmlformats.org/officeDocument/2006/relationships/hyperlink" Target="https://www.hindustantimes.com/india/unemployment-dole/story-4nNvKmDAYGRN0MfOx1iDKP.html" TargetMode="External"/><Relationship Id="rId55" Type="http://schemas.openxmlformats.org/officeDocument/2006/relationships/hyperlink" Target="https://frontline.thehindu.com/cover-story/article30209583.ece" TargetMode="External"/><Relationship Id="rId56" Type="http://schemas.openxmlformats.org/officeDocument/2006/relationships/hyperlink" Target="https://timesofindia.indiatimes.com/india/free-tv-soap-opera-is-a-hit-in-tn/articleshow/1996396.cms" TargetMode="External"/><Relationship Id="rId57" Type="http://schemas.openxmlformats.org/officeDocument/2006/relationships/hyperlink" Target="https://frontline.thehindu.com/other/article30193144.ece" TargetMode="External"/><Relationship Id="rId58" Type="http://schemas.openxmlformats.org/officeDocument/2006/relationships/hyperlink" Target="https://www.oneindia.com/2007/05/02/ladli-lakshmi-yojana-in-mp-1178120286.html" TargetMode="External"/><Relationship Id="rId59" Type="http://schemas.openxmlformats.org/officeDocument/2006/relationships/hyperlink" Target="https://www.tribuneindia.com/news/top-headlines/mann-govt-to-provide-free-ration-kits-to-40l-families-ahead-of-poll/" TargetMode="External"/><Relationship Id="rId60" Type="http://schemas.openxmlformats.org/officeDocument/2006/relationships/hyperlink" Target="https://www.indiabudget.gov.in/budget_archive/ub2009-10(I)/bs/speecha.htm" TargetMode="External"/><Relationship Id="rId61" Type="http://schemas.openxmlformats.org/officeDocument/2006/relationships/hyperlink" Target="https://www.newindianexpress.com/cities/delhi/2025/Feb/27/ladli-scheme-audit-finds-rs-61838-crore-unclaimed-reveals-massive-irregularities" TargetMode="External"/><Relationship Id="rId62" Type="http://schemas.openxmlformats.org/officeDocument/2006/relationships/hyperlink" Target="https://www.thehindu.com/news/national/other-states/vasundhara-to-relaunch-scheme-to-empower-women/article6319335.ece" TargetMode="External"/><Relationship Id="rId63" Type="http://schemas.openxmlformats.org/officeDocument/2006/relationships/hyperlink" Target="https://timesofindia.indiatimes.com/india/chhattisgarh-poor-to-get-rice-at-rs-3/kg/articleshow/2706349.cms" TargetMode="External"/><Relationship Id="rId64" Type="http://schemas.openxmlformats.org/officeDocument/2006/relationships/hyperlink" Target="https://timesofindia.indiatimes.com/city/bhubaneswar/Government-renames-Mo-Kudia-scheme/articleshow/42329187.cms" TargetMode="External"/><Relationship Id="rId65" Type="http://schemas.openxmlformats.org/officeDocument/2006/relationships/hyperlink" Target="https://www.indiabudget.gov.in/budget_archive/ub2008-09/bs/speecha.htm" TargetMode="External"/><Relationship Id="rId66" Type="http://schemas.openxmlformats.org/officeDocument/2006/relationships/hyperlink" Target="https://www.indiabudget.gov.in/budget_archive/ub2008-09/bs/speecha.htm" TargetMode="External"/><Relationship Id="rId67" Type="http://schemas.openxmlformats.org/officeDocument/2006/relationships/hyperlink" Target="https://www.indiabudget.gov.in/budget_archive/ub2008-09/bs/speecha.htm" TargetMode="External"/><Relationship Id="rId68" Type="http://schemas.openxmlformats.org/officeDocument/2006/relationships/hyperlink" Target="https://timesofindia.indiatimes.com/india/poll-sop-rice-at-rs-2/kg-in-andhra/articleshow/2939135.cms" TargetMode="External"/><Relationship Id="rId69" Type="http://schemas.openxmlformats.org/officeDocument/2006/relationships/hyperlink" Target="https://economictimes.indiatimes.com/news/politics-and-nation/pm-sanctions-rs-1000-crore-declares-bihar-flood-national-disaster/articleshow/3419064.cms" TargetMode="External"/><Relationship Id="rId70" Type="http://schemas.openxmlformats.org/officeDocument/2006/relationships/hyperlink" Target="https://www.indiabudget.gov.in/budget_archive/ub2009-10(I)/bs/speecha.htm" TargetMode="External"/><Relationship Id="rId71" Type="http://schemas.openxmlformats.org/officeDocument/2006/relationships/hyperlink" Target="https://indianexpress.com/article/political-pulse/naveen-is-orissa-cm-for-record-fourth-time/" TargetMode="External"/><Relationship Id="rId72" Type="http://schemas.openxmlformats.org/officeDocument/2006/relationships/hyperlink" Target="https://timesofindia.indiatimes.com/city/chennai/rice-at-re-1-per-kg-in-tn-from-sept-5/articleshow/3426920.cms" TargetMode="External"/><Relationship Id="rId73" Type="http://schemas.openxmlformats.org/officeDocument/2006/relationships/hyperlink" Target="https://www.indiabudget.gov.in/budget_archive/ub2009-10/bs/speecha.htm" TargetMode="External"/><Relationship Id="rId74" Type="http://schemas.openxmlformats.org/officeDocument/2006/relationships/hyperlink" Target="https://indianexpress.com/article/cities/ahmedabad/gujarat-cm-bhupendra-patel-launches-14th-garib-kalyan-mela-9591151/" TargetMode="External"/><Relationship Id="rId75" Type="http://schemas.openxmlformats.org/officeDocument/2006/relationships/hyperlink" Target="https://frontline.thehindu.com/the-nation/article30188800.ece" TargetMode="External"/><Relationship Id="rId76" Type="http://schemas.openxmlformats.org/officeDocument/2006/relationships/hyperlink" Target="https://frontline.thehindu.com/politics/article30188745.ece" TargetMode="External"/><Relationship Id="rId77" Type="http://schemas.openxmlformats.org/officeDocument/2006/relationships/hyperlink" Target="https://www.thehindu.com/news/national/whither-bundelkhand-package/article2883401.ece" TargetMode="External"/><Relationship Id="rId78" Type="http://schemas.openxmlformats.org/officeDocument/2006/relationships/hyperlink" Target="https://indianexpress.com/article/india/india-news-india/west-bengal-assembly-elections-2016-in-jangalmahal-village-that-once-went-hungry-parivartan-takes-the-form-of-affordable-rice/" TargetMode="External"/><Relationship Id="rId79" Type="http://schemas.openxmlformats.org/officeDocument/2006/relationships/hyperlink" Target="https://indianexpress.com/article/cities/lucknow/announced-on-maya-s-birthday-schemes-execut/" TargetMode="External"/><Relationship Id="rId80" Type="http://schemas.openxmlformats.org/officeDocument/2006/relationships/hyperlink" Target="https://indianexpress.com/article/india/india-others/2-fare-cut-is-the-only-lalu-stimulus/" TargetMode="External"/><Relationship Id="rId81" Type="http://schemas.openxmlformats.org/officeDocument/2006/relationships/hyperlink" Target="https://socialjusticehry.gov.in/old-age-samman-allowance-scheme/" TargetMode="External"/><Relationship Id="rId82" Type="http://schemas.openxmlformats.org/officeDocument/2006/relationships/hyperlink" Target="https://frontline.thehindu.com/the-nation/article30187387.ece" TargetMode="External"/><Relationship Id="rId83" Type="http://schemas.openxmlformats.org/officeDocument/2006/relationships/hyperlink" Target="https://www.thehindu.com/news/national/Manmohan-winds-up-survey-announces-Rs.-2000-cr.-relief/article16885881.ece" TargetMode="External"/><Relationship Id="rId84" Type="http://schemas.openxmlformats.org/officeDocument/2006/relationships/hyperlink" Target="https://bucketapi.rajyasabha.digital/public-bucket/uploads/committee/2026_08_21_committee_3339_976_6a881941b462a.pdf" TargetMode="External"/><Relationship Id="rId85" Type="http://schemas.openxmlformats.org/officeDocument/2006/relationships/hyperlink" Target="https://www.rediff.com/news/slide-show/slide-show-1-when-nitish-cancelled-the-modi-dinner/20140228.htm" TargetMode="External"/><Relationship Id="rId86" Type="http://schemas.openxmlformats.org/officeDocument/2006/relationships/hyperlink" Target="https://indianexpress.com/article/explained/maternity-benefit-scheme-what-pm-modi-said-where-things-stand-now-4459269/" TargetMode="External"/><Relationship Id="rId87" Type="http://schemas.openxmlformats.org/officeDocument/2006/relationships/hyperlink" Target="https://www.thehindu.com/news/national/other-states/Mayawati-launches-welfare-scheme-for-poor/article15672368.ece" TargetMode="External"/><Relationship Id="rId88" Type="http://schemas.openxmlformats.org/officeDocument/2006/relationships/hyperlink" Target="https://www.newindianexpress.com/states/kerala/2019/Apr/09/legacy-lingers-post-km-manis-death-1962419.html" TargetMode="External"/><Relationship Id="rId89" Type="http://schemas.openxmlformats.org/officeDocument/2006/relationships/hyperlink" Target="https://www.thehindu.com/news/national/kerala/Rice-at-Rs.-2-a-kg-in-a-day-or-two/article14689272.ece" TargetMode="External"/><Relationship Id="rId90" Type="http://schemas.openxmlformats.org/officeDocument/2006/relationships/hyperlink" Target="https://frontline.thehindu.com/politics/playing-the-piper/article5389646.ece" TargetMode="External"/><Relationship Id="rId91" Type="http://schemas.openxmlformats.org/officeDocument/2006/relationships/hyperlink" Target="https://www.indiatoday.in/india/north/story/up-mayawati-gifts-699-welfare-schemes-projects-on-bday-126665-2011-01-15" TargetMode="External"/><Relationship Id="rId92" Type="http://schemas.openxmlformats.org/officeDocument/2006/relationships/hyperlink" Target="https://www.indiabudget.gov.in/budget2011-2012/ub2011-12/bs/bs.pdf" TargetMode="External"/><Relationship Id="rId93" Type="http://schemas.openxmlformats.org/officeDocument/2006/relationships/hyperlink" Target="https://indianexpress.com/article/india/india-news-india/a-little-bit-more-how-ammas-freebies-compare-to-what-shes-offered-before-2787325/" TargetMode="External"/><Relationship Id="rId94" Type="http://schemas.openxmlformats.org/officeDocument/2006/relationships/hyperlink" Target="https://www.thehindu.com/news/national/rs1000crore-central-aid-for-quakehit-sikkim/article2497796.ece" TargetMode="External"/><Relationship Id="rId95" Type="http://schemas.openxmlformats.org/officeDocument/2006/relationships/hyperlink" Target="https://www.newindianexpress.com/states/tamil-nadu/2016/Feb/04/100-percentage-free-laptops-distributed-to-all-888402.html" TargetMode="External"/><Relationship Id="rId96" Type="http://schemas.openxmlformats.org/officeDocument/2006/relationships/hyperlink" Target="https://indianexpress.com/article/explained/explained-rajasthan-free-medicine-scheme-5827614/" TargetMode="External"/><Relationship Id="rId97" Type="http://schemas.openxmlformats.org/officeDocument/2006/relationships/hyperlink" Target="https://www.downtoearth.org.in/environment/drought-of-equity-40606" TargetMode="External"/><Relationship Id="rId98" Type="http://schemas.openxmlformats.org/officeDocument/2006/relationships/hyperlink" Target="https://indianexpress.com/article/cities/lucknow/free-laptops-cag-punches-holes-says-excessively-funded-yet-short-of-target/" TargetMode="External"/><Relationship Id="rId99" Type="http://schemas.openxmlformats.org/officeDocument/2006/relationships/hyperlink" Target="https://www.thehindu.com/news/national/tamil-nadu/rs-500crore-cyclone-relief-from-centre/article2790513.ece" TargetMode="External"/><Relationship Id="rId100" Type="http://schemas.openxmlformats.org/officeDocument/2006/relationships/hyperlink" Target="https://timesofindia.indiatimes.com/city/goa/griha-aadhar-scheme-to-be-launched-today/articleshow/17879571.cms" TargetMode="External"/><Relationship Id="rId101" Type="http://schemas.openxmlformats.org/officeDocument/2006/relationships/hyperlink" Target="https://www.thehindu.com/news/national/slew-of-populist-measures-by-akhilesh-on-day-1/article2998039.ece" TargetMode="External"/><Relationship Id="rId102" Type="http://schemas.openxmlformats.org/officeDocument/2006/relationships/hyperlink" Target="https://www.rediff.com/news/slide-show/slide-show-1-assam-floods-77-dead-pm-announces-rs-500-crore-aid/20120702.htm" TargetMode="External"/><Relationship Id="rId103" Type="http://schemas.openxmlformats.org/officeDocument/2006/relationships/hyperlink" Target="https://www.livemint.com/Politics/bS3giFXXxO7vUaLtUmJLBK/Chhattisgarh-food-security-Bill-puts-UPA-under-pressure.html" TargetMode="External"/><Relationship Id="rId104" Type="http://schemas.openxmlformats.org/officeDocument/2006/relationships/hyperlink" Target="https://www.indiatoday.in/india/north/story/sheila-dikshit-rs-600-per-month-dal-roti-chawal-family-of-five-india-today-124449-2012-12-15" TargetMode="External"/><Relationship Id="rId105" Type="http://schemas.openxmlformats.org/officeDocument/2006/relationships/hyperlink" Target="https://www.thehindu.com/news/national/himachal-pradesh/himachal-multi-crore-scholarship-scam-cbi-files-charge-sheet-against-20-institutes-105-individuals/article68005966.ece" TargetMode="External"/><Relationship Id="rId106" Type="http://schemas.openxmlformats.org/officeDocument/2006/relationships/hyperlink" Target="https://www.thehindu.com/todays-paper/direct-benefit-transfer-scheme-finally-gets-going/article4281371.ece" TargetMode="External"/><Relationship Id="rId107" Type="http://schemas.openxmlformats.org/officeDocument/2006/relationships/hyperlink" Target="https://www.indiabudget.gov.in/budget2013-2014/ub2013-14/bs/bs.pdf" TargetMode="External"/><Relationship Id="rId108" Type="http://schemas.openxmlformats.org/officeDocument/2006/relationships/hyperlink" Target="https://frontline.thehindu.com/the-nation/egg-on-the-face/article8182741.ece" TargetMode="External"/><Relationship Id="rId109" Type="http://schemas.openxmlformats.org/officeDocument/2006/relationships/hyperlink" Target="https://www.downtoearth.org.in/governance/how-tamil-nadu-s-amma-canteen-scheme-stood-the-test-of-time-77776" TargetMode="External"/><Relationship Id="rId110" Type="http://schemas.openxmlformats.org/officeDocument/2006/relationships/hyperlink" Target="https://www.indiabudget.gov.in/budget2013-2014/es2012-13/echap-13.pdf" TargetMode="External"/><Relationship Id="rId111" Type="http://schemas.openxmlformats.org/officeDocument/2006/relationships/hyperlink" Target="https://timesofindia.indiatimes.com/city/bhopal/madhya-pradesh-using-its-finances-for-annapurna-scheme-govt/articleshow/20434115.cms" TargetMode="External"/><Relationship Id="rId112" Type="http://schemas.openxmlformats.org/officeDocument/2006/relationships/hyperlink" Target="https://www.newindianexpress.com/elections/rajasthan-elections/2018/Dec/11/vasundhara-raje-maharani-cms-raj-loses-to-congress-to-fight-another-day-1910126.html" TargetMode="External"/><Relationship Id="rId113" Type="http://schemas.openxmlformats.org/officeDocument/2006/relationships/hyperlink" Target="https://www.newindianexpress.com/states/karnataka/2013/Aug/26/karnataka-to-sell-wheat-millets-at-re.1-per-kg-to-poor-510572.html" TargetMode="External"/><Relationship Id="rId114" Type="http://schemas.openxmlformats.org/officeDocument/2006/relationships/hyperlink" Target="https://www.thehindu.com/business/Economy/lpg-subsidy-to-be-credited-directly-in-bank-accounts-from-june-1-in-18-districts/article4762963.ece" TargetMode="External"/><Relationship Id="rId115" Type="http://schemas.openxmlformats.org/officeDocument/2006/relationships/hyperlink" Target="https://www.business-standard.com/article/specials/uttarakhand-donations-top-rs-180-crore-113070500577_1.html" TargetMode="External"/><Relationship Id="rId116" Type="http://schemas.openxmlformats.org/officeDocument/2006/relationships/hyperlink" Target="https://www.livemint.com/Politics/F94DyJe65ya152ypFp15gO/CAG-report-slams-Uttarakhand-govt.html" TargetMode="External"/><Relationship Id="rId117" Type="http://schemas.openxmlformats.org/officeDocument/2006/relationships/hyperlink" Target="https://www.thehindu.com/news/national/other-states/pm-announces-rs-1000-cr-relief-for-uttarakhand/article4829561.ece" TargetMode="External"/><Relationship Id="rId118" Type="http://schemas.openxmlformats.org/officeDocument/2006/relationships/hyperlink" Target="https://frontline.thehindu.com/the-nation/food-for-security/article5085111.ece" TargetMode="External"/><Relationship Id="rId119" Type="http://schemas.openxmlformats.org/officeDocument/2006/relationships/hyperlink" Target="https://www.newindianexpress.com/states/karnataka/2013/Aug/26/karnataka-to-sell-wheat-millets-at-re.1-per-kg-to-poor-510572.html" TargetMode="External"/><Relationship Id="rId120" Type="http://schemas.openxmlformats.org/officeDocument/2006/relationships/hyperlink" Target="https://m.economictimes.com/news/economy/policy/government-announces-seventh-central-pay-commission/articleshow/23038399.cms" TargetMode="External"/><Relationship Id="rId121" Type="http://schemas.openxmlformats.org/officeDocument/2006/relationships/hyperlink" Target="https://frontline.thehindu.com/environment/after-phailin/article5281245.ece" TargetMode="External"/><Relationship Id="rId122" Type="http://schemas.openxmlformats.org/officeDocument/2006/relationships/hyperlink" Target="https://www.thehindu.com/news/national/bengal-assistance-for-marriage-of-poor-women/article22613215.ece" TargetMode="External"/><Relationship Id="rId123" Type="http://schemas.openxmlformats.org/officeDocument/2006/relationships/hyperlink" Target="https://www.thehindu.com/news/national/other-states/centre-approves-rs-7346-crore-compensation-package-for-uttarakhand/article5444877.ece" TargetMode="External"/><Relationship Id="rId124" Type="http://schemas.openxmlformats.org/officeDocument/2006/relationships/hyperlink" Target="https://indianexpress.com/article/india/india-others/cabinet-accepts-rahul-gandhis-lpg-subsidy-demand-increases-cap-from-9-to-12/" TargetMode="External"/><Relationship Id="rId125" Type="http://schemas.openxmlformats.org/officeDocument/2006/relationships/hyperlink" Target="https://indianexpress.com/article/cities/mumbai/power-tariff-in-maharashtra-will-remain-higher-than-other-states/" TargetMode="External"/><Relationship Id="rId126" Type="http://schemas.openxmlformats.org/officeDocument/2006/relationships/hyperlink" Target="https://www.indiabudget.gov.in/budget2014-2015(I)/ub2014-15/bs/bs.pdf" TargetMode="External"/><Relationship Id="rId127" Type="http://schemas.openxmlformats.org/officeDocument/2006/relationships/hyperlink" Target="https://www.indiabudget.gov.in/budget2014-2015(I)/ub2014-15/bs/bs.pdf" TargetMode="External"/><Relationship Id="rId128" Type="http://schemas.openxmlformats.org/officeDocument/2006/relationships/hyperlink" Target="https://www.thehindu.com/news/national/other-states/dont-force-farmers-to-repay-loans-hc-tells-maharashtra-government/article5815873.ece" TargetMode="External"/><Relationship Id="rId129" Type="http://schemas.openxmlformats.org/officeDocument/2006/relationships/hyperlink" Target="https://www.downtoearth.org.in/environment/farmers-in-telangana-protest-cap-on-farm-loan-waiver-44651" TargetMode="External"/><Relationship Id="rId130" Type="http://schemas.openxmlformats.org/officeDocument/2006/relationships/hyperlink" Target="https://www.downtoearth.org.in/environment/andhra-pradesh-announces-rs-43000-crore-loan-waiver-45418" TargetMode="External"/><Relationship Id="rId131" Type="http://schemas.openxmlformats.org/officeDocument/2006/relationships/hyperlink" Target="https://www.pib.gov.in/PressReleasePage.aspx?PRID=2161401" TargetMode="External"/><Relationship Id="rId132" Type="http://schemas.openxmlformats.org/officeDocument/2006/relationships/hyperlink" Target="https://www.rediff.com/business/slide-show/slide-show-1-bhamashah-a-scheme-to-trump-aadhaar-in-rajasthan/20140818.htm" TargetMode="External"/><Relationship Id="rId133" Type="http://schemas.openxmlformats.org/officeDocument/2006/relationships/hyperlink" Target="https://www.hindustantimes.com/india/pm-modi-visits-siachen-spends-time-with-soldiers-on-diwali/story-QdGzHCfbWY9FYglkYdGUbL.html" TargetMode="External"/><Relationship Id="rId134" Type="http://schemas.openxmlformats.org/officeDocument/2006/relationships/hyperlink" Target="https://www.thehindu.com/news/national/Jammu-and-Kahsmir-floods-Omar-Abdullah-announces-relief-package/article60345806.ece" TargetMode="External"/><Relationship Id="rId135" Type="http://schemas.openxmlformats.org/officeDocument/2006/relationships/hyperlink" Target="https://www.business-standard.com/article/economy-policy/naveen-announces-pucca-houses-for-odisha-s-rural-inhabitants-114091101168_1.html" TargetMode="External"/><Relationship Id="rId136" Type="http://schemas.openxmlformats.org/officeDocument/2006/relationships/hyperlink" Target="https://indianexpress.com/article/india/india-others/pm-arrives-in-visakhapatnam-to-survey-cyclone-hit-areas/" TargetMode="External"/><Relationship Id="rId137" Type="http://schemas.openxmlformats.org/officeDocument/2006/relationships/hyperlink" Target="https://www.pmindia.gov.in/en/news_updates/pm-meets-various-groups-of-flood-affected-people-in-srinagar-listens-to-their-problems-and-suggestions/" TargetMode="External"/><Relationship Id="rId138" Type="http://schemas.openxmlformats.org/officeDocument/2006/relationships/hyperlink" Target="https://energy.economictimes.indiatimes.com/news/pahal-enters-guinness-book-of-world-records-as-the-largest-cash-transfer-program/48470924" TargetMode="External"/><Relationship Id="rId139" Type="http://schemas.openxmlformats.org/officeDocument/2006/relationships/hyperlink" Target="https://www.tribuneindia.com/news/archive/community/power-bill-waiver-only-for-hail-hit-farmers-khattar-62029/" TargetMode="External"/><Relationship Id="rId140" Type="http://schemas.openxmlformats.org/officeDocument/2006/relationships/hyperlink" Target="https://bucketapi.rajyasabha.digital/public-bucket/uploads/committee/2026_08_21_committee_3339_976_6a881941b462a.pdf" TargetMode="External"/><Relationship Id="rId141" Type="http://schemas.openxmlformats.org/officeDocument/2006/relationships/hyperlink" Target="https://indianexpress.com/article/cities/kolkata/had-contested-with-800-projects-after-kanyashree-bengal-govt-bags-wsis-award-for-its-sabuj-sathi-scheme-6589951/" TargetMode="External"/><Relationship Id="rId142" Type="http://schemas.openxmlformats.org/officeDocument/2006/relationships/hyperlink" Target="https://www.indiabudget.gov.in/budget2015-2016/ub2015-16/bs/bs.pdf" TargetMode="External"/><Relationship Id="rId143" Type="http://schemas.openxmlformats.org/officeDocument/2006/relationships/hyperlink" Target="https://www.indiatoday.in/assembly-elections-2015/bihar-polls/photo/bihar-celebrates-as-pm-modi-declares-special-package-worth-rs-125-lakh-crore-375906-2015-08-18" TargetMode="External"/><Relationship Id="rId144" Type="http://schemas.openxmlformats.org/officeDocument/2006/relationships/hyperlink" Target="https://www.thehindu.com/news/national/gogoi-announces-rs-862crore-largesse-for-assam/article7692497.ece" TargetMode="External"/><Relationship Id="rId145" Type="http://schemas.openxmlformats.org/officeDocument/2006/relationships/hyperlink" Target="https://www.rediff.com/news/report/government-announces-one-rank-one-pension-for-ex-servicemen/20150905.htm" TargetMode="External"/><Relationship Id="rId146" Type="http://schemas.openxmlformats.org/officeDocument/2006/relationships/hyperlink" Target="https://www.etvbharat.com/en/bharat/funding-delays-and-missing-mou-stall-ladli-beti-scheme-in-jammu-kashmir-enn26080704343" TargetMode="External"/><Relationship Id="rId147" Type="http://schemas.openxmlformats.org/officeDocument/2006/relationships/hyperlink" Target="https://www.pmindia.gov.in/en/news_updates/highlights-of-prime-ministers-development-package-for-jammu-and-kashmir/" TargetMode="External"/><Relationship Id="rId148" Type="http://schemas.openxmlformats.org/officeDocument/2006/relationships/hyperlink" Target="https://www.bbc.com/news/world-asia-india-35024134" TargetMode="External"/><Relationship Id="rId149" Type="http://schemas.openxmlformats.org/officeDocument/2006/relationships/hyperlink" Target="https://www.pmindia.gov.in/en/news_updates/cabinet-approves-implementation-of-the-pradhan-mantri-awaas-yojana-gramin-pmay-g-during-fy-2024-25-to-2028-29/" TargetMode="External"/><Relationship Id="rId150" Type="http://schemas.openxmlformats.org/officeDocument/2006/relationships/hyperlink" Target="https://prsindia.org/files/budget/budget_parliament/2025/DFG_Analysis_2025-26_Agriculture_&amp;_Farmers_Welfare.pdf" TargetMode="External"/><Relationship Id="rId151" Type="http://schemas.openxmlformats.org/officeDocument/2006/relationships/hyperlink" Target="https://www.hindustantimes.com/punjab/the-politics-of-populism-it-s-dole-time-in-punjab/story-mD67SuOSi9vdlkTEE11SbN.html" TargetMode="External"/><Relationship Id="rId152" Type="http://schemas.openxmlformats.org/officeDocument/2006/relationships/hyperlink" Target="https://indianexpress.com/article/cities/kolkata/mamatas-masterstroke-ahead-of-polls-foodgrain-at-rs-2kg-for-80-of-bengal-population/" TargetMode="External"/><Relationship Id="rId153" Type="http://schemas.openxmlformats.org/officeDocument/2006/relationships/hyperlink" Target="https://www.thehindu.com/news/cities/Delhi/One-year-of-AAP-Kejriwal-waives-Delhi-water-bills-till-November/article60580066.ece" TargetMode="External"/><Relationship Id="rId154" Type="http://schemas.openxmlformats.org/officeDocument/2006/relationships/hyperlink" Target="https://www.deccanchronicle.com/nation/current-affairs/130216/kerala-budget-2016-it-read-more-like-a-poll-manifesto.html" TargetMode="External"/><Relationship Id="rId155" Type="http://schemas.openxmlformats.org/officeDocument/2006/relationships/hyperlink" Target="https://indianexpress.com/article/cities/lucknow/centres-offer-for-drought-hit-bundelkhand-up-rejects-water-trains-wants-tankers-2786560/" TargetMode="External"/><Relationship Id="rId156" Type="http://schemas.openxmlformats.org/officeDocument/2006/relationships/hyperlink" Target="https://timesofindia.indiatimes.com/india/cm-for-a-night-harish-rawat-clears-11-schemes-in-2-cabinet-meets/articleshow/51950982.cms" TargetMode="External"/><Relationship Id="rId157" Type="http://schemas.openxmlformats.org/officeDocument/2006/relationships/hyperlink" Target="https://www.thehindu.com/news/national/Declaration-of-drought-Define-time-limit-Supreme-Court-tells-Centre/article60512906.ece" TargetMode="External"/><Relationship Id="rId158" Type="http://schemas.openxmlformats.org/officeDocument/2006/relationships/hyperlink" Target="https://www.indiatoday.in/india/uttar-pradesh/story/bjp-kickstarts-its-mission-up-with-pm-modis-ballia-visit-321006-2016-05-01" TargetMode="External"/><Relationship Id="rId159" Type="http://schemas.openxmlformats.org/officeDocument/2006/relationships/hyperlink" Target="https://www.business-standard.com/article/politics/jayalalithaa-keeps-five-poll-promises-on-day-1-116052300523_1.html" TargetMode="External"/><Relationship Id="rId160" Type="http://schemas.openxmlformats.org/officeDocument/2006/relationships/hyperlink" Target="https://timesofindia.indiatimes.com/uttar-pradesh/meritorious-girl-students-to-be-given-rs-30000-in-up/articleshow/53718793.cms" TargetMode="External"/><Relationship Id="rId161" Type="http://schemas.openxmlformats.org/officeDocument/2006/relationships/hyperlink" Target="https://indianexpress.com/article/india/yogi-scraps-smartphone-scheme-of-sp-4618629/" TargetMode="External"/><Relationship Id="rId162" Type="http://schemas.openxmlformats.org/officeDocument/2006/relationships/hyperlink" Target="https://indianexpress.com/article/explained/maternity-benefit-scheme-what-pm-modi-said-where-things-stand-now-4459269/" TargetMode="External"/><Relationship Id="rId163" Type="http://schemas.openxmlformats.org/officeDocument/2006/relationships/hyperlink" Target="https://www.indiabudget.gov.in/budget2017-2018/ub2017-18/bs/bs.pdf" TargetMode="External"/><Relationship Id="rId164" Type="http://schemas.openxmlformats.org/officeDocument/2006/relationships/hyperlink" Target="https://timesofindia.indiatimes.com/elections/news/dont-announce-any-scheme-for-poll-bound-states-in-union-budget-ec-tells-government/articleshow/56742740.cms" TargetMode="External"/><Relationship Id="rId165" Type="http://schemas.openxmlformats.org/officeDocument/2006/relationships/hyperlink" Target="https://www.tribuneindia.com/news/archive/community/sukhu-launches-allowance-scheme-for-jobless-391056/" TargetMode="External"/><Relationship Id="rId166" Type="http://schemas.openxmlformats.org/officeDocument/2006/relationships/hyperlink" Target="https://www.thehindu.com/news/national/other-states/yogi-waives-farm-loans-up-to-rs-1-lakh/article61798537.ece" TargetMode="External"/><Relationship Id="rId167" Type="http://schemas.openxmlformats.org/officeDocument/2006/relationships/hyperlink" Target="https://timesofindia.indiatimes.com/india/now-karnataka-waives-loans-of-22-lakh-farmers/articleshow/59260867.cms" TargetMode="External"/><Relationship Id="rId168" Type="http://schemas.openxmlformats.org/officeDocument/2006/relationships/hyperlink" Target="https://timesofindia.indiatimes.com/city/mumbai/fadnavis-announces-rs-34022cr-loan-waiver-to-aid-89l-farmers/articleshow/59304696.cms" TargetMode="External"/><Relationship Id="rId169" Type="http://schemas.openxmlformats.org/officeDocument/2006/relationships/hyperlink" Target="https://indianexpress.com/article/india/karnataka-gets-indira-canteens-breakfast-for-rs-5-lunch-for-rs-10-4800143/" TargetMode="External"/><Relationship Id="rId170" Type="http://schemas.openxmlformats.org/officeDocument/2006/relationships/hyperlink" Target="https://indianexpress.com/article/north-east-india/tripura/tripura-identifies-60000-fake-ration-card-holders-detects-ineligible-social-security-pension-beneficiaries-5355053/" TargetMode="External"/><Relationship Id="rId171" Type="http://schemas.openxmlformats.org/officeDocument/2006/relationships/hyperlink" Target="https://www.hindustantimes.com/punjab/punjab-begins-farm-debt-waiver-farmers-aap-protest/story-tm9rhL84ScLBmyBoD19BFL.html" TargetMode="External"/><Relationship Id="rId172" Type="http://schemas.openxmlformats.org/officeDocument/2006/relationships/hyperlink" Target="https://www.thehindu.com/news/national/bengal-assistance-for-marriage-of-poor-women/article22613215.ece" TargetMode="External"/><Relationship Id="rId173" Type="http://schemas.openxmlformats.org/officeDocument/2006/relationships/hyperlink" Target="https://www.indiabudget.gov.in/budget2018-2019/ub2018-19/bs/bs.pdf" TargetMode="External"/><Relationship Id="rId174" Type="http://schemas.openxmlformats.org/officeDocument/2006/relationships/hyperlink" Target="https://timesofindia.indiatimes.com/india/rajasthan-announces-loan-waiver-for-farmers-to-cost-rs-8000-crore/articleshow/62887502.cms" TargetMode="External"/><Relationship Id="rId175" Type="http://schemas.openxmlformats.org/officeDocument/2006/relationships/hyperlink" Target="https://timesofindia.indiatimes.com/city/hyderabad/k-chandrasekhar-rao-rolls-out-rythu-bandhu-sop-a-balm-for-58-lakh-farmers/articleshow/64119910.cms" TargetMode="External"/><Relationship Id="rId176" Type="http://schemas.openxmlformats.org/officeDocument/2006/relationships/hyperlink" Target="https://energy.economictimes.indiatimes.com/news/power/mp-power-schemes-over-38-lakh-people-register-in-10-days/64946133" TargetMode="External"/><Relationship Id="rId177" Type="http://schemas.openxmlformats.org/officeDocument/2006/relationships/hyperlink" Target="https://indianexpress.com/article/india/dual-sim-smartphones-for-50-lakh-chhattisgarh-beneficiaries-under-sanchar-kranti-yojana-5280052/" TargetMode="External"/><Relationship Id="rId178" Type="http://schemas.openxmlformats.org/officeDocument/2006/relationships/hyperlink" Target="https://prsindia.org/budgets/states/karnataka-budget-analysis-2018-19" TargetMode="External"/><Relationship Id="rId179" Type="http://schemas.openxmlformats.org/officeDocument/2006/relationships/hyperlink" Target="https://www.thehindu.com/news/national/kerala/sc-junks-kerala-order-on-salary-challenge/article25362589.ece" TargetMode="External"/><Relationship Id="rId180" Type="http://schemas.openxmlformats.org/officeDocument/2006/relationships/hyperlink" Target="https://www.thehindu.com/news/national/pm-modi-launches-ayushman-bharat-scheme/article25020146.ece" TargetMode="External"/><Relationship Id="rId181" Type="http://schemas.openxmlformats.org/officeDocument/2006/relationships/hyperlink" Target="https://www.thenewsminute.com/andhra-pradesh/cyclone-titli-central-team-meets-andhra-cm-naidu-urges-quick-release-aid-90642" TargetMode="External"/><Relationship Id="rId182" Type="http://schemas.openxmlformats.org/officeDocument/2006/relationships/hyperlink" Target="https://www.thehindu.com/news/national/kerala-to-get-3048-crore-as-flood-relief/article25682123.ece" TargetMode="External"/><Relationship Id="rId183" Type="http://schemas.openxmlformats.org/officeDocument/2006/relationships/hyperlink" Target="https://www.thehindu.com/news/national/mp-cm-kamal-nath-waives-off-farm-loans-up-to-2-lakh/article62015750.ece" TargetMode="External"/><Relationship Id="rId184" Type="http://schemas.openxmlformats.org/officeDocument/2006/relationships/hyperlink" Target="https://indianexpress.com/article/india/odisha-cm-skips-loan-waiver-declares-financial-aide-for-farmers-5504787/" TargetMode="External"/><Relationship Id="rId185" Type="http://schemas.openxmlformats.org/officeDocument/2006/relationships/hyperlink" Target="https://www.thenewsminute.com/tamil-nadu/cyclone-gaja-centre-clears-rs-1146-crore-relief-tamil-nadu-94333" TargetMode="External"/><Relationship Id="rId186" Type="http://schemas.openxmlformats.org/officeDocument/2006/relationships/hyperlink" Target="https://indianexpress.com/article/cities/kolkata/krishak-bandhu-scheme-rs-500-crore-disbursed-to-37-lakh-farmers-in-eight-months-6079520/" TargetMode="External"/><Relationship Id="rId187" Type="http://schemas.openxmlformats.org/officeDocument/2006/relationships/hyperlink" Target="https://prsindia.org/budgets/states/andhra-pradesh-budget-analysis-2019-2020" TargetMode="External"/><Relationship Id="rId188" Type="http://schemas.openxmlformats.org/officeDocument/2006/relationships/hyperlink" Target="https://prsindia.org/budgets/states/chhattisgarh-budget-analysis-2019-20" TargetMode="External"/><Relationship Id="rId189" Type="http://schemas.openxmlformats.org/officeDocument/2006/relationships/hyperlink" Target="https://indianexpress.com/article/cities/chandigarh/haryanas-mukhya-mantri-parivar-samridhi-yojana-maximum-poor-families-availing-benefits-are-from-richest-districts-7369790/" TargetMode="External"/><Relationship Id="rId190" Type="http://schemas.openxmlformats.org/officeDocument/2006/relationships/hyperlink" Target="https://www.livemint.com/Politics/f8v46qvKEfV9lKm4QUmfHI/Lok-Sabha-clears-quota-bill-with-nearfull-majority.html" TargetMode="External"/><Relationship Id="rId191" Type="http://schemas.openxmlformats.org/officeDocument/2006/relationships/hyperlink" Target="https://www.indiatoday.in/education-today/gk-%26-current-affairs/story/sikkim-launches-one-family-one-job-scheme-1430035-2019-01-13" TargetMode="External"/><Relationship Id="rId192" Type="http://schemas.openxmlformats.org/officeDocument/2006/relationships/hyperlink" Target="https://www.hindustantimes.com/india-news/jagan-reddy-scraps-chandrababu-naidu-s-farmer-scheme-unveils-new-plan/story-nW2TalpA9nXev1sh7MRobN.html" TargetMode="External"/><Relationship Id="rId193" Type="http://schemas.openxmlformats.org/officeDocument/2006/relationships/hyperlink" Target="https://indianexpress.com/article/india/pasupu-kumkuma-andhra-govt-scheme-for-women-gets-ec-nod-5659477/" TargetMode="External"/><Relationship Id="rId194" Type="http://schemas.openxmlformats.org/officeDocument/2006/relationships/hyperlink" Target="https://prsindia.org/budgets/states/haryana-budget-analysis-2019-20" TargetMode="External"/><Relationship Id="rId195" Type="http://schemas.openxmlformats.org/officeDocument/2006/relationships/hyperlink" Target="https://www.indiabudget.gov.in/budget2019-20(I)/ub2019-20/bs/bs.pdf" TargetMode="External"/><Relationship Id="rId196" Type="http://schemas.openxmlformats.org/officeDocument/2006/relationships/hyperlink" Target="https://www.hindustantimes.com/india-news/lok-sabha-elections-2019-pm-modi-launches-direct-cash-benefit-scheme-for-farmers/story-pMWZuh8iPInFUJFjZXiWqI.html" TargetMode="External"/><Relationship Id="rId197" Type="http://schemas.openxmlformats.org/officeDocument/2006/relationships/hyperlink" Target="https://www.indiabudget.gov.in/budget2019-20(I)/ub2019-20/bs/bs.pdf" TargetMode="External"/><Relationship Id="rId198" Type="http://schemas.openxmlformats.org/officeDocument/2006/relationships/hyperlink" Target="https://www.hindustantimes.com/ranchi/jharkhand-s-5-2-lakh-farmers-get-first-instalment-of-centre-s-kisan-income-scheme/story-wMrzBDMWDr8FokdH7914dK.html" TargetMode="External"/><Relationship Id="rId199" Type="http://schemas.openxmlformats.org/officeDocument/2006/relationships/hyperlink" Target="https://indianexpress.com/article/cities/chennai/tamil-nadu-cm-assembly-k-palaniswami-dmk-bpl-dole-5580248/" TargetMode="External"/><Relationship Id="rId200" Type="http://schemas.openxmlformats.org/officeDocument/2006/relationships/hyperlink" Target="https://pib.gov.in/Pressreleaseshare.aspx?PRID=1845839" TargetMode="External"/><Relationship Id="rId201" Type="http://schemas.openxmlformats.org/officeDocument/2006/relationships/hyperlink" Target="https://scroll.in/latest/921936/cyclone-fani-tourists-told-to-leave-puri-by-tomorrow-ec-lifts-model-code-in-11-odisha-districts" TargetMode="External"/><Relationship Id="rId202" Type="http://schemas.openxmlformats.org/officeDocument/2006/relationships/hyperlink" Target="https://timesofindia.indiatimes.com/india/cyclone-fani-toll-jumps-to-34-in-odisha-cm-naveen-patnaik-announces-relief-package/articleshow/69190600.cms" TargetMode="External"/><Relationship Id="rId203" Type="http://schemas.openxmlformats.org/officeDocument/2006/relationships/hyperlink" Target="https://prsindia.org/budgets/states/maharashtra-budget-analysis-2019-20" TargetMode="External"/><Relationship Id="rId204" Type="http://schemas.openxmlformats.org/officeDocument/2006/relationships/hyperlink" Target="https://www.thehindu.com/news/national/other-states/free-electricity-for-delhiites-using-up-to-200-units/article28789468.ece" TargetMode="External"/><Relationship Id="rId205" Type="http://schemas.openxmlformats.org/officeDocument/2006/relationships/hyperlink" Target="https://www.hindustantimes.com/mumbai-news/state-to-waive-farmers-loans-rebuild-homes-relocate-people/story-QubHTVWqDOhoxAikdlJtOI.html" TargetMode="External"/><Relationship Id="rId206" Type="http://schemas.openxmlformats.org/officeDocument/2006/relationships/hyperlink" Target="https://indianexpress.com/article/india/how-parties-fared-in-haryana-and-maharashtra-assembly-polls-in-2014-6015815/" TargetMode="External"/><Relationship Id="rId207" Type="http://schemas.openxmlformats.org/officeDocument/2006/relationships/hyperlink" Target="https://timesofindia.indiatimes.com/business/india-business/pm-launches-kisan-maandhan-yojana-pension-scheme-for-traders-self-employed-things-to-know/articleshow/71095633.cms" TargetMode="External"/><Relationship Id="rId208" Type="http://schemas.openxmlformats.org/officeDocument/2006/relationships/hyperlink" Target="https://prsindia.org/budgets/states/telangana-budget-analysis-2019-20" TargetMode="External"/><Relationship Id="rId209" Type="http://schemas.openxmlformats.org/officeDocument/2006/relationships/hyperlink" Target="https://timesofindia.indiatimes.com/city/vijayawada/cm-launches-rythu-bharosa-calls-it-his-token-of-gratitude/articleshow/71604166.cms" TargetMode="External"/><Relationship Id="rId210" Type="http://schemas.openxmlformats.org/officeDocument/2006/relationships/hyperlink" Target="https://www.aljazeera.com/news/2019/10/29/pink-tickets-as-delhi-rolls-out-free-bus-travel-for-women" TargetMode="External"/><Relationship Id="rId211" Type="http://schemas.openxmlformats.org/officeDocument/2006/relationships/hyperlink" Target="https://frontline.thehindu.com/the-nation/article29766585.ece" TargetMode="External"/><Relationship Id="rId212" Type="http://schemas.openxmlformats.org/officeDocument/2006/relationships/hyperlink" Target="https://prsindia.org/budgets/states/maharashtra-budget-analysis-2020-21" TargetMode="External"/><Relationship Id="rId213" Type="http://schemas.openxmlformats.org/officeDocument/2006/relationships/hyperlink" Target="https://indianexpress.com/article/india/chhattisgarh-baghel-government-buying-cow-urine-make-pesticide-fertiliser-8056924/" TargetMode="External"/><Relationship Id="rId214" Type="http://schemas.openxmlformats.org/officeDocument/2006/relationships/hyperlink" Target="https://prsindia.org/budgets/states/chhattisgarh-budget-analysis-2020-21" TargetMode="External"/><Relationship Id="rId215" Type="http://schemas.openxmlformats.org/officeDocument/2006/relationships/hyperlink" Target="https://energy.economictimes.indiatimes.com/news/oil-and-gas/himachal-becomes-first-state-where-cent-pc-households-have-gas-connection-cm/76815307" TargetMode="External"/><Relationship Id="rId216" Type="http://schemas.openxmlformats.org/officeDocument/2006/relationships/hyperlink" Target="https://timesofindia.indiatimes.com/city/mumbai/only-24-of-rs-799cr-in-cms-covid-fund-has-been-used-rti/articleshow/87857043.cms" TargetMode="External"/><Relationship Id="rId217" Type="http://schemas.openxmlformats.org/officeDocument/2006/relationships/hyperlink" Target="https://www.newindianexpress.com/states/andhra-pradesh/2020/Jan/09/andhra-cm-launches-amma-vodi-scheme-in-chittoor-district-2087331.html" TargetMode="External"/><Relationship Id="rId218" Type="http://schemas.openxmlformats.org/officeDocument/2006/relationships/hyperlink" Target="https://indianexpress.com/article/pune/lpg-crunch-unpaid-dues-pune-shiv-bhojan-thali-centres-brink-10587369/" TargetMode="External"/><Relationship Id="rId219" Type="http://schemas.openxmlformats.org/officeDocument/2006/relationships/hyperlink" Target="https://pmcares.gov.in/assets/donation/pdf/Audited%20Statement.PDF" TargetMode="External"/><Relationship Id="rId220" Type="http://schemas.openxmlformats.org/officeDocument/2006/relationships/hyperlink" Target="https://www.newindianexpress.com/india/2025/Feb/07/profession-wise-covid-19-death-data-not-maintained-centrally-no-martyrs-status-centre-tells-lok-sabha" TargetMode="External"/><Relationship Id="rId221" Type="http://schemas.openxmlformats.org/officeDocument/2006/relationships/hyperlink" Target="https://factly.in/data-what-is-the-state-wise-coverage-of-women-pmjdy-account-holders-under-pmgky/" TargetMode="External"/><Relationship Id="rId222" Type="http://schemas.openxmlformats.org/officeDocument/2006/relationships/hyperlink" Target="https://www.business-standard.com/article/news-ani/pm-ministers-mps-to-get-30-pc-less-salary-mplad-funds-suspended-for-2-years-120040600896_1.html" TargetMode="External"/><Relationship Id="rId223" Type="http://schemas.openxmlformats.org/officeDocument/2006/relationships/hyperlink" Target="https://www.thenewsminute.com/kerala/pinarayi-government-s-pandemic-food-kits-have-struck-chord-people-145620" TargetMode="External"/><Relationship Id="rId224" Type="http://schemas.openxmlformats.org/officeDocument/2006/relationships/hyperlink" Target="https://timesofindia.indiatimes.com/city/hyderabad/76-lakh-ration-card-holders-get-rs-1-5k-each/articleshow/75149411.cms" TargetMode="External"/><Relationship Id="rId225" Type="http://schemas.openxmlformats.org/officeDocument/2006/relationships/hyperlink" Target="https://www.newindianexpress.com/india/2020/Apr/10/covid-19-lockdown-cm-yogi-releases-rs-482-crore-as-maintenance-allowance-for-five-lakh-labourers-2128406.html" TargetMode="External"/><Relationship Id="rId226" Type="http://schemas.openxmlformats.org/officeDocument/2006/relationships/hyperlink" Target="https://indianexpress.com/article/explained/explainspeaking-why-the-atmanirbhar-bharat-abhiyan-economic-package-is-being-criticised-6414905/" TargetMode="External"/><Relationship Id="rId227" Type="http://schemas.openxmlformats.org/officeDocument/2006/relationships/hyperlink" Target="https://timesofindia.indiatimes.com/city/kolkata/bengal-inflated-amphan-relief-claim-by-32000-cr-says-cag-report/articleshow/132629782.cms" TargetMode="External"/><Relationship Id="rId228" Type="http://schemas.openxmlformats.org/officeDocument/2006/relationships/hyperlink" Target="https://indianexpress.com/article/political-pulse/cag-flags-cyclone-amphan-2020-relief-irregularities-tmc-west-bengal-10811195/" TargetMode="External"/><Relationship Id="rId229" Type="http://schemas.openxmlformats.org/officeDocument/2006/relationships/hyperlink" Target="https://timesofindia.indiatimes.com/business/india-business/pm-modi-announces-extension-of-free-ration-scheme-says-govt-working-on-one-nation-one-ration-card/articleshow/76710523.cms" TargetMode="External"/><Relationship Id="rId230" Type="http://schemas.openxmlformats.org/officeDocument/2006/relationships/hyperlink" Target="https://www.newindianexpress.com/india/2020/Aug/12/amarinder-launches-punjab-smart-connect-174015-class-xii-students-to-benefit-in-phase-1-2182526.html" TargetMode="External"/><Relationship Id="rId231" Type="http://schemas.openxmlformats.org/officeDocument/2006/relationships/hyperlink" Target="https://www.indiatoday.in/india/story/assam-eligible-newlyweds-to-get-rs-40-000-as-aid-under-arundhati-gold-scheme-1725083-2020-09-24" TargetMode="External"/><Relationship Id="rId232" Type="http://schemas.openxmlformats.org/officeDocument/2006/relationships/hyperlink" Target="https://prsindia.org/budgets/states/assam-budget-analysis-2026-27" TargetMode="External"/><Relationship Id="rId233" Type="http://schemas.openxmlformats.org/officeDocument/2006/relationships/hyperlink" Target="https://www.thehindu.com/news/cities/Hyderabad/ec-slams-brakes-on-flood-relief-grant/article33127742.ece" TargetMode="External"/><Relationship Id="rId234" Type="http://schemas.openxmlformats.org/officeDocument/2006/relationships/hyperlink" Target="https://www.newindianexpress.com/states/tamil-nadu/2020/Dec/20/tn-chiefministerannounces-rs-2500cashpongal-gift-kit--2238645.html" TargetMode="External"/><Relationship Id="rId235" Type="http://schemas.openxmlformats.org/officeDocument/2006/relationships/hyperlink" Target="https://www.livemint.com/news/india/bengal-s-duare-sarkar-reached-over-1-crore-people-in-2-weeks-cm-mamata-11608367316616.html" TargetMode="External"/><Relationship Id="rId236" Type="http://schemas.openxmlformats.org/officeDocument/2006/relationships/hyperlink" Target="https://timesofindia.indiatimes.com/education/news/chhattisgarh-govt-to-pay-school-fees-of-covid-orphaned-children/articleshow/83512179.cms" TargetMode="External"/><Relationship Id="rId237" Type="http://schemas.openxmlformats.org/officeDocument/2006/relationships/hyperlink" Target="https://bucketapi.rajyasabha.digital/public-bucket/uploads/committee/2026_08_21_committee_3339_976_6a881941b462a.pdf" TargetMode="External"/><Relationship Id="rId238" Type="http://schemas.openxmlformats.org/officeDocument/2006/relationships/hyperlink" Target="https://indianexpress.com/article/india/from-kbc-fame-to-corruption-arrest-tehsildar-who-sat-opposite-amitabh-bachchan-in-2019-lands-in-jail-10603907/" TargetMode="External"/><Relationship Id="rId239" Type="http://schemas.openxmlformats.org/officeDocument/2006/relationships/hyperlink" Target="https://www.indiatoday.in/education-today/news/story/bihar-govt-to-give-rs-50-000-to-graduate-girls-rs-25-000-to-those-who-passed-class-12-1765555-2021-02-03" TargetMode="External"/><Relationship Id="rId240" Type="http://schemas.openxmlformats.org/officeDocument/2006/relationships/hyperlink" Target="https://www.indiabudget.gov.in/budget2021-22/doc/Budget_Speech.pdf" TargetMode="External"/><Relationship Id="rId241" Type="http://schemas.openxmlformats.org/officeDocument/2006/relationships/hyperlink" Target="https://www.thehindu.com/news/national/tamil-nadu/tn-cm-announces-12110-crore-crop-loan-waiver/article33759653.ece" TargetMode="External"/><Relationship Id="rId242" Type="http://schemas.openxmlformats.org/officeDocument/2006/relationships/hyperlink" Target="https://www.livemint.com/news/india/rs-50k-ex-gratia-monthly-pension-delhi-govt-notifies-scheme-for-covid-victims-kin-11624405671692.html" TargetMode="External"/><Relationship Id="rId243" Type="http://schemas.openxmlformats.org/officeDocument/2006/relationships/hyperlink" Target="https://www.rediff.com/news/report/pm-modi-reviews-cyclone-yaas-damages-in-odisha/20210528.htm" TargetMode="External"/><Relationship Id="rId244" Type="http://schemas.openxmlformats.org/officeDocument/2006/relationships/hyperlink" Target="https://www.thehindu.com/news/national/over-half-of-pm-cares-for-children-scheme-applications-for-covid-orphans-rejected/article68409285.ece" TargetMode="External"/><Relationship Id="rId245" Type="http://schemas.openxmlformats.org/officeDocument/2006/relationships/hyperlink" Target="https://www.livemint.com/news/india/mk-stalin-s-first-orders-as-tamil-nadu-cm-rs-2-000-covid-time-relief-govt-to-bear-covid-treatment-cost-in-private-hospitals-11620377935898.html" TargetMode="External"/><Relationship Id="rId246" Type="http://schemas.openxmlformats.org/officeDocument/2006/relationships/hyperlink" Target="https://www.newindianexpress.com/states/tamil-nadu/2024/Nov/24/57-lakh-women-benefit-from-magalir-vidiyal-payanam-daily" TargetMode="External"/><Relationship Id="rId247" Type="http://schemas.openxmlformats.org/officeDocument/2006/relationships/hyperlink" Target="https://www.livelaw.in/top-stories/states-should-not-deny-ex-gratia-for-covid-deaths-on-ground-that-death-certificate-does-not-mention-covid-as-cause-of-death-supreme-court-183028" TargetMode="External"/><Relationship Id="rId248" Type="http://schemas.openxmlformats.org/officeDocument/2006/relationships/hyperlink" Target="https://www.pib.gov.in/PressReleasePage.aspx?PRID=1744400" TargetMode="External"/><Relationship Id="rId249" Type="http://schemas.openxmlformats.org/officeDocument/2006/relationships/hyperlink" Target="https://www.newindianexpress.com/states/telangana/2021/Aug/05/telangana-chief-minister-kcr-launches-dalit-bandhuin-his-very-own-vasalamarri-village-2340287.html" TargetMode="External"/><Relationship Id="rId250" Type="http://schemas.openxmlformats.org/officeDocument/2006/relationships/hyperlink" Target="https://indianexpress.com/article/india/goa-free-water-scheme-to-begin-today-first-state-to-do-so-pramod-sawant-7481239/" TargetMode="External"/><Relationship Id="rId251" Type="http://schemas.openxmlformats.org/officeDocument/2006/relationships/hyperlink" Target="https://www.business-standard.com/article/economy-policy/punjab-to-waive-pending-power-bills-of-those-having-connection-of-upto-2-kw-121092901283_1.html" TargetMode="External"/><Relationship Id="rId252" Type="http://schemas.openxmlformats.org/officeDocument/2006/relationships/hyperlink" Target="https://timesofindia.indiatimes.com/city/kolkata/lakshmir-bhandar-bank-transfer-from-today/articleshow/85816832.cms" TargetMode="External"/><Relationship Id="rId253" Type="http://schemas.openxmlformats.org/officeDocument/2006/relationships/hyperlink" Target="https://www.thehindu.com/news/national/farm-laws-repeal-bill-passed-in-rajya-sabha-by-voice-vote-in-less-than-five-minutes/article37747790.ece" TargetMode="External"/><Relationship Id="rId254" Type="http://schemas.openxmlformats.org/officeDocument/2006/relationships/hyperlink" Target="https://timesofindia.indiatimes.com/business/india-business/excise-duty-slashed-by-rs-10-on-diesel-rs-5-on-petrol/articleshow/87515788.cms" TargetMode="External"/><Relationship Id="rId255" Type="http://schemas.openxmlformats.org/officeDocument/2006/relationships/hyperlink" Target="https://www.business-standard.com/india-news/punjab-cabinet-withdraws-previous-cong-govt-s-decision-of-subsidised-power-124090500693_1.html" TargetMode="External"/><Relationship Id="rId256" Type="http://schemas.openxmlformats.org/officeDocument/2006/relationships/hyperlink" Target="https://www.hindustantimes.com/cities/lucknow-news/up-govt-to-start-distribution-of-free-tablets-smartphones-today-101640371641503.html" TargetMode="External"/><Relationship Id="rId257" Type="http://schemas.openxmlformats.org/officeDocument/2006/relationships/hyperlink" Target="https://www.thehindu.com/elections/rajasthan-assembly/ashok-gehlots-expansion-of-health-cover-under-chiranjeevi-scheme-impractical-says-bjp-leader/article67567361.ece" TargetMode="External"/><Relationship Id="rId258" Type="http://schemas.openxmlformats.org/officeDocument/2006/relationships/hyperlink" Target="https://indianexpress.com/article/north-east-india/tripura/tripura-identifies-60000-fake-ration-card-holders-detects-ineligible-social-security-pension-beneficiaries-5355053/" TargetMode="External"/><Relationship Id="rId259" Type="http://schemas.openxmlformats.org/officeDocument/2006/relationships/hyperlink" Target="https://indianexpress.com/article/cities/shimla/himachal-pradesh-statehood-day-jai-ram-thakur-announcement-free-power-7741486/" TargetMode="External"/><Relationship Id="rId260" Type="http://schemas.openxmlformats.org/officeDocument/2006/relationships/hyperlink" Target="https://timesofindia.indiatimes.com/business/india-business/explained-punjab-and-up-govt-are-doling-out-free-electricity-ahead-of-elections-but-who-will-bear-this-cost/articleshow/88804306.cms" TargetMode="External"/><Relationship Id="rId261" Type="http://schemas.openxmlformats.org/officeDocument/2006/relationships/hyperlink" Target="https://www.livelaw.in/top-stories/supreme-court-dismisses-centres-plea-against-high-court-direction-to-resume-mgnrega-scheme-in-west-bengal-307952" TargetMode="External"/><Relationship Id="rId262" Type="http://schemas.openxmlformats.org/officeDocument/2006/relationships/hyperlink" Target="https://indianexpress.com/article/cities/shimla/himachal-approves-50-bus-fare-concession-for-women-7938712/" TargetMode="External"/><Relationship Id="rId263" Type="http://schemas.openxmlformats.org/officeDocument/2006/relationships/hyperlink" Target="https://www.livelaw.in/top-stories/supreme-court-covid-19-ex-gratia-compensation-andhra-pradesh-state-disaster-relief-fund-204099" TargetMode="External"/><Relationship Id="rId264" Type="http://schemas.openxmlformats.org/officeDocument/2006/relationships/hyperlink" Target="https://www.newindianexpress.com/india/2022/Jul/16/recent-assam-floods-worst-ever-has-highest-ever-casualties-says-cm-himanta-as-toll-touches-195-2477299.html" TargetMode="External"/><Relationship Id="rId265" Type="http://schemas.openxmlformats.org/officeDocument/2006/relationships/hyperlink" Target="https://www.aninews.in/news/national/general-news/meghalaya-cm-announces-rs-5000-for-every-household-under-focus-scheme20220729141845/" TargetMode="External"/><Relationship Id="rId266" Type="http://schemas.openxmlformats.org/officeDocument/2006/relationships/hyperlink" Target="https://www.pmindia.gov.in/en/news_updates/cabinet-approves-continuation-of-pradhan-mantri-awas-yojana-urban-pmay-u-housing-for-all-mission-up-to-31st-december-2024/" TargetMode="External"/><Relationship Id="rId267" Type="http://schemas.openxmlformats.org/officeDocument/2006/relationships/hyperlink" Target="https://www.thequint.com/opinion/mizoram-will-zpm-break-the-pattern-of-governments-changing-after-two-terms" TargetMode="External"/><Relationship Id="rId268" Type="http://schemas.openxmlformats.org/officeDocument/2006/relationships/hyperlink" Target="https://indianexpress.com/article/cities/gandhinagar/gujarat-announces-free-cylinders-pmuy-38-lakh-households-benefit-8214581/" TargetMode="External"/><Relationship Id="rId269" Type="http://schemas.openxmlformats.org/officeDocument/2006/relationships/hyperlink" Target="https://cmogujarat.gov.in/en/latest-news/13th-edition-of-state-wide-garib-kalyan-mela" TargetMode="External"/><Relationship Id="rId270" Type="http://schemas.openxmlformats.org/officeDocument/2006/relationships/hyperlink" Target="https://indianexpress.com/article/india/224-blocks-in-22-jharkhand-districts-declared-drought-hit-8237677/" TargetMode="External"/><Relationship Id="rId271" Type="http://schemas.openxmlformats.org/officeDocument/2006/relationships/hyperlink" Target="https://timesofindia.indiatimes.com/city/pune/no-anandacha-shidha-this-diwali-owing-to-financial-crunch-in-state/articleshow/124347787.cms" TargetMode="External"/><Relationship Id="rId272" Type="http://schemas.openxmlformats.org/officeDocument/2006/relationships/hyperlink" Target="https://bfsi.economictimes.indiatimes.com/news/insurance/nagaland-launches-universal-health-insurance-scheme/94871385" TargetMode="External"/><Relationship Id="rId273" Type="http://schemas.openxmlformats.org/officeDocument/2006/relationships/hyperlink" Target="https://indianexpress.com/article/political-pulse/decode-politics-why-pm-modi-is-talking-of-bandarbant-in-himachal-9360120/" TargetMode="External"/><Relationship Id="rId274" Type="http://schemas.openxmlformats.org/officeDocument/2006/relationships/hyperlink" Target="https://www.pib.gov.in/PressReleaseIframePage.aspx?PRID=1990696" TargetMode="External"/><Relationship Id="rId275" Type="http://schemas.openxmlformats.org/officeDocument/2006/relationships/hyperlink" Target="https://indianexpress.com/article/political-pulse/mp-shivraj-hopes-women-beat-anti-incumbency-money-purse-8983165/" TargetMode="External"/><Relationship Id="rId276" Type="http://schemas.openxmlformats.org/officeDocument/2006/relationships/hyperlink" Target="https://www.newindianexpress.com/india/2024/Jun/02/bjp-capitalises-on-weakened-opposition-in-arunachal-welfare-schemes-do-wonders-for-skm-in-sikkim" TargetMode="External"/><Relationship Id="rId277" Type="http://schemas.openxmlformats.org/officeDocument/2006/relationships/hyperlink" Target="https://www.thehindu.com/news/national/other-states/himachal-pradesh-decides-to-restores-ops-for-its-employees/article66373793.ece" TargetMode="External"/><Relationship Id="rId278" Type="http://schemas.openxmlformats.org/officeDocument/2006/relationships/hyperlink" Target="https://timesofindia.indiatimes.com/city/dehradun/uttarakhand-increases-joshimath-aid-30x-to-1-5l-per-family/articleshow/96920948.cms" TargetMode="External"/><Relationship Id="rId279" Type="http://schemas.openxmlformats.org/officeDocument/2006/relationships/hyperlink" Target="https://thesouthfirst.com/karnataka/free-bus-passes-waivers-grants-incentives-revdi-by-bjp-government-in-karnataka-budget-2023/" TargetMode="External"/><Relationship Id="rId280" Type="http://schemas.openxmlformats.org/officeDocument/2006/relationships/hyperlink" Target="https://timesofindia.indiatimes.com/india/prime-minister-narendra-modi-inaugurates-shivamogga-airport-in-karnataka-road-show-belagavi-farmers/articleshow/98263230.cms" TargetMode="External"/><Relationship Id="rId281" Type="http://schemas.openxmlformats.org/officeDocument/2006/relationships/hyperlink" Target="https://www.indiabudget.gov.in/budget2023-24/doc/Budget_Speech.pdf" TargetMode="External"/><Relationship Id="rId282" Type="http://schemas.openxmlformats.org/officeDocument/2006/relationships/hyperlink" Target="https://www.indiatoday.in/india-today-insight/story/why-nitish-declared-compensation-for-all-hooch-deaths-since-prohibition-in-bihar-2364115-2023-04-24" TargetMode="External"/><Relationship Id="rId283" Type="http://schemas.openxmlformats.org/officeDocument/2006/relationships/hyperlink" Target="https://theprint.in/ground-reports/gehlot-gives-gas-power-pension-under-mehngai-rahat-now-people-wait-for-cellphones/1719632/" TargetMode="External"/><Relationship Id="rId284" Type="http://schemas.openxmlformats.org/officeDocument/2006/relationships/hyperlink" Target="https://prsindia.org/budgets/states/karnataka-budget-analysis-2026-27" TargetMode="External"/><Relationship Id="rId285" Type="http://schemas.openxmlformats.org/officeDocument/2006/relationships/hyperlink" Target="https://timesofindia.indiatimes.com/city/bengaluru/shakti-dues-govt-clears-rs-11748cr-still-owes-rs-4006cr-to-rtcs/articleshow/126096209.cms" TargetMode="External"/><Relationship Id="rId286" Type="http://schemas.openxmlformats.org/officeDocument/2006/relationships/hyperlink" Target="https://indianexpress.com/article/cities/bhopal/chouhan-keeps-ladli-behna-promise-transfers-rs-1000-to-1-25-cr-beneficiaries-8656399/" TargetMode="External"/><Relationship Id="rId287" Type="http://schemas.openxmlformats.org/officeDocument/2006/relationships/hyperlink" Target="https://timesofindia.indiatimes.com/city/bengaluru/karnataka-to-give-cash-instead-of-5-kg-additional-rice/articleshow/101351348.cms" TargetMode="External"/><Relationship Id="rId288" Type="http://schemas.openxmlformats.org/officeDocument/2006/relationships/hyperlink" Target="https://www.thehindu.com/news/national/rajasthan-assembly-passes-bills-on-minimum-income-higher-punishment-for-paper-leaks/article67106940.ece" TargetMode="External"/><Relationship Id="rId289" Type="http://schemas.openxmlformats.org/officeDocument/2006/relationships/hyperlink" Target="https://indianexpress.com/article/cities/bangalore/cong-to-replicate-karnatakas-gruha-lakhmi-cash-transfer-scheme-for-women-across-india-rahul-gandhi-8916189/" TargetMode="External"/><Relationship Id="rId290" Type="http://schemas.openxmlformats.org/officeDocument/2006/relationships/hyperlink" Target="https://timesofindia.indiatimes.com/city/bhopal/cabinet-approves-mauganj-as-53rd-district-of-mp-6k/yr-for-farmers/articleshow/102665688.cms" TargetMode="External"/><Relationship Id="rId291" Type="http://schemas.openxmlformats.org/officeDocument/2006/relationships/hyperlink" Target="https://indianexpress.com/article/cities/jaipur/rajasthan-puts-gehlots-free-smartphone-scheme-on-hold-9124729/" TargetMode="External"/><Relationship Id="rId292" Type="http://schemas.openxmlformats.org/officeDocument/2006/relationships/hyperlink" Target="https://indianexpress.com/article/political-pulse/kcr-2018-farm-loan-waiver-promise-polls-bjp-cry-foul-8874277/" TargetMode="External"/><Relationship Id="rId293" Type="http://schemas.openxmlformats.org/officeDocument/2006/relationships/hyperlink" Target="https://indianexpress.com/article/cities/lucknow/mukhyamantri-kanya-sumangla-yojana-rakhi-gift-underprivileged-girls-to-get-rs-10000-more-8917022/" TargetMode="External"/><Relationship Id="rId294" Type="http://schemas.openxmlformats.org/officeDocument/2006/relationships/hyperlink" Target="https://pib.gov.in/PressNoteDetails.aspx?NoteId=159998&amp;ModuleId=3&amp;reg=3&amp;lang=1" TargetMode="External"/><Relationship Id="rId295" Type="http://schemas.openxmlformats.org/officeDocument/2006/relationships/hyperlink" Target="https://legal.economictimes.indiatimes.com/news/law-policy/womens-reservation-bill-passed-with-215-0-majority-in-rajya-sabha/103845840" TargetMode="External"/><Relationship Id="rId296" Type="http://schemas.openxmlformats.org/officeDocument/2006/relationships/hyperlink" Target="https://www.newindianexpress.com/states/tamil-nadu/2023/Sep/15/tn-cm-stalin-launches-first-of-its-kind-scheme-for-women-2615143.html" TargetMode="External"/><Relationship Id="rId297" Type="http://schemas.openxmlformats.org/officeDocument/2006/relationships/hyperlink" Target="https://newsonair.gov.in/union-cabinet-approves-govts-decision-to-increase-lpg-subsidy-per-cylinder-by-rs-100-for-ujjwala-yojana-beneficiaries-ib-minister-anurag-singh-thakur/" TargetMode="External"/><Relationship Id="rId298" Type="http://schemas.openxmlformats.org/officeDocument/2006/relationships/hyperlink" Target="https://www.pmindia.gov.in/en/news_updates/pm-lays-foundation-stone-and-dedicates-to-nation-multiple-development-projects-worth-about-rs-7500-crores-in-shirdi-maharashtra/" TargetMode="External"/><Relationship Id="rId299" Type="http://schemas.openxmlformats.org/officeDocument/2006/relationships/hyperlink" Target="https://m.economictimes.com/jobs/government-jobs/meghalaya-cm-launches-cm-elevate-program-to-address-youth-unemployment/articleshow/104502176.cms" TargetMode="External"/><Relationship Id="rId300" Type="http://schemas.openxmlformats.org/officeDocument/2006/relationships/hyperlink" Target="https://www.hindustantimes.com/india-news/central-assistance-for-flood-hit-sikkim-triggers-political-slugfest-in-bengal-101696766782401.html" TargetMode="External"/><Relationship Id="rId301" Type="http://schemas.openxmlformats.org/officeDocument/2006/relationships/hyperlink" Target="https://www.thehindu.com/elections/chhattisgarh-assembly/chhattisgarh-polls-bjp-promises-sops-for-married-women-landless-farm-labourers-lpg-cylinder-at-500/article67493270.ece" TargetMode="External"/><Relationship Id="rId302" Type="http://schemas.openxmlformats.org/officeDocument/2006/relationships/hyperlink" Target="https://www.hindustantimes.com/india-news/freeration-scheme-will-be-extended-for-next-5-years-pm-modi-in-poll-bound-chhattisgarh-madhya-pradesh-101699099169144.html" TargetMode="External"/><Relationship Id="rId303" Type="http://schemas.openxmlformats.org/officeDocument/2006/relationships/hyperlink" Target="https://timesofindia.indiatimes.com/india/congress-attacks-brs-over-ecs-withdrawal-of-permission-for-giving-aid-to-telangana-farmers/articleshow/105530026.cms" TargetMode="External"/><Relationship Id="rId304" Type="http://schemas.openxmlformats.org/officeDocument/2006/relationships/hyperlink" Target="https://prsindia.org/budgets/states/telangana-budget-analysis-2024-25" TargetMode="External"/><Relationship Id="rId305" Type="http://schemas.openxmlformats.org/officeDocument/2006/relationships/hyperlink" Target="https://prsindia.org/budgets/states/telangana-budget-analysis-2026-27" TargetMode="External"/><Relationship Id="rId306" Type="http://schemas.openxmlformats.org/officeDocument/2006/relationships/hyperlink" Target="https://www.newindianexpress.com/states/tamil-nadu/2023/Dec/22/567-lakh-families-applyfor-rs-6000-michaungrelief-in-tn-92-receive-aid-2643834.html" TargetMode="External"/><Relationship Id="rId307" Type="http://schemas.openxmlformats.org/officeDocument/2006/relationships/hyperlink" Target="https://www.thehindu.com/news/national/gujarat/gujarats-namo-lakshmi-yojana-disburses-924-crore-benefits-over-10-lakh-girl-students/article69796544.ece" TargetMode="External"/><Relationship Id="rId308" Type="http://schemas.openxmlformats.org/officeDocument/2006/relationships/hyperlink" Target="https://www.hindustantimes.com/india-news/dont-disburse-14-000cr-among-beneficiaries-before-polling-eci-tells-andhra-cm-101715253041498.html" TargetMode="External"/><Relationship Id="rId309" Type="http://schemas.openxmlformats.org/officeDocument/2006/relationships/hyperlink" Target="https://indianexpress.com/article/political-pulse/polls-bihar-rs-2-lakh-5-yrs-94-lakh-poor-families-9114191/" TargetMode="External"/><Relationship Id="rId310" Type="http://schemas.openxmlformats.org/officeDocument/2006/relationships/hyperlink" Target="https://timesofindia.indiatimes.com/city/chandigarh/handful-still-handy-why-haryana-parties-love-wooing-the-old/articleshow/112710215.cms" TargetMode="External"/><Relationship Id="rId311" Type="http://schemas.openxmlformats.org/officeDocument/2006/relationships/hyperlink" Target="https://www.thehindu.com/news/national/other-states/rajasthan-announces-ujjwala-yojanas-lpg-cylinder-supply-at-450/article67680668.ece" TargetMode="External"/><Relationship Id="rId312" Type="http://schemas.openxmlformats.org/officeDocument/2006/relationships/hyperlink" Target="https://timesofindia.indiatimes.com/city/ahmedabad/govt-announces-scheme-for-women-with-very-high-risk-pregnancies/articleshow/108719904.cms" TargetMode="External"/><Relationship Id="rId313" Type="http://schemas.openxmlformats.org/officeDocument/2006/relationships/hyperlink" Target="https://www.indiabudget.gov.in/budget2024-25(I)/doc/Budget_Speech.pdf" TargetMode="External"/><Relationship Id="rId314" Type="http://schemas.openxmlformats.org/officeDocument/2006/relationships/hyperlink" Target="https://www.pmindia.gov.in/en/news_updates/pm-inaugurates-and-dedicates-to-nation-multiple-development-projects-worth-more-than-rs-4900-crores-in-yavatmal-maharashtra/" TargetMode="External"/><Relationship Id="rId315" Type="http://schemas.openxmlformats.org/officeDocument/2006/relationships/hyperlink" Target="https://www.pmindia.gov.in/en/news_updates/cabinet-approves-pm-surya-ghar-muft-bijli-yojana-for-installing-rooftop-solar-in-one-crore-households/" TargetMode="External"/><Relationship Id="rId316" Type="http://schemas.openxmlformats.org/officeDocument/2006/relationships/hyperlink" Target="https://www.business-standard.com/finance/personal-finance/odisha-cm-raises-pension-for-beneficiaries-under-social-security-schemes-124021000951_1.html" TargetMode="External"/><Relationship Id="rId317" Type="http://schemas.openxmlformats.org/officeDocument/2006/relationships/hyperlink" Target="https://www.thehindu.com/news/national/other-states/west-bengal-state-budget-2024/article67824908.ece" TargetMode="External"/><Relationship Id="rId318" Type="http://schemas.openxmlformats.org/officeDocument/2006/relationships/hyperlink" Target="https://www.pib.gov.in/PressReleasePage.aspx?PRID=2013167" TargetMode="External"/><Relationship Id="rId319" Type="http://schemas.openxmlformats.org/officeDocument/2006/relationships/hyperlink" Target="https://indianexpress.com/article/cities/delhi/delhi-departments-notices-aap-schemes-kejriwal-9743477/" TargetMode="External"/><Relationship Id="rId320" Type="http://schemas.openxmlformats.org/officeDocument/2006/relationships/hyperlink" Target="https://m.economictimes.com/news/india/himachal-pradesh-clears-rs-1500-aid-for-women-in-4th-year-of-power/articleshow/131284831.cms" TargetMode="External"/><Relationship Id="rId321" Type="http://schemas.openxmlformats.org/officeDocument/2006/relationships/hyperlink" Target="https://indianexpress.com/article/india/pm-modi-international-womens-day-lpg-cylinder-price-cut-9202370/" TargetMode="External"/><Relationship Id="rId322" Type="http://schemas.openxmlformats.org/officeDocument/2006/relationships/hyperlink" Target="https://www.thenewsminute.com/karnataka/union-government-releases-rs-3454-crore-as-drought-relief-to-karnataka" TargetMode="External"/><Relationship Id="rId323" Type="http://schemas.openxmlformats.org/officeDocument/2006/relationships/hyperlink" Target="https://www.livemint.com/news/india/cyclone-remal-news-aizawl-mizoram-cm-lalduhoma-15-cr-for-state-relief-fund-rainfall-imd-power-weather-landslides-11716945923196.html" TargetMode="External"/><Relationship Id="rId324" Type="http://schemas.openxmlformats.org/officeDocument/2006/relationships/hyperlink" Target="https://timesofindia.indiatimes.com/city/mumbai/maharashtra-budget-2024-25-key-highlights/articleshow/111337334.cms" TargetMode="External"/><Relationship Id="rId325" Type="http://schemas.openxmlformats.org/officeDocument/2006/relationships/hyperlink" Target="https://www.businesstoday.in/india/story/92-lakh-beneficiaries-removed-from-maharashtras-ladki-bahin-yojana-after-verification-report-542573-2026-07-13" TargetMode="External"/><Relationship Id="rId326" Type="http://schemas.openxmlformats.org/officeDocument/2006/relationships/hyperlink" Target="https://cfo.economictimes.indiatimes.com/news/policy/pm-internship-scheme-over-165-lakh-offers-round-iii-sees-10195-joinings/132572654" TargetMode="External"/><Relationship Id="rId327" Type="http://schemas.openxmlformats.org/officeDocument/2006/relationships/hyperlink" Target="https://www.newindianexpress.com/states/odisha/2024/Jul/26/gjay-replaces-biju-swasthya-kalyan-yojana-as-health-takes-8-per-cent-of-odishas-budget" TargetMode="External"/><Relationship Id="rId328" Type="http://schemas.openxmlformats.org/officeDocument/2006/relationships/hyperlink" Target="https://timesofindia.indiatimes.com/city/hyderabad/telangana-cm-revanth-waives-more-farm-loans-to-cost-govt-2747-crore/articleshow/115851819.cms" TargetMode="External"/><Relationship Id="rId329" Type="http://schemas.openxmlformats.org/officeDocument/2006/relationships/hyperlink" Target="https://newsonair.gov.in/haryana-cm-nayab-singh-saini-launches-har-ghar-har-grihini-yojana/" TargetMode="External"/><Relationship Id="rId330" Type="http://schemas.openxmlformats.org/officeDocument/2006/relationships/hyperlink" Target="https://www.pmindia.gov.in/en/news_updates/cabinet-approves-pradhan-mantri-awas-yojana-urban-2-0-scheme/" TargetMode="External"/><Relationship Id="rId331" Type="http://schemas.openxmlformats.org/officeDocument/2006/relationships/hyperlink" Target="https://www.indiatoday.in/india/story/jharkhand-cabinet-meeting-hemant-soren-jharkhand-agricultural-loan-waiver-scheme-farmers-2578777-2024-08-08" TargetMode="External"/><Relationship Id="rId332" Type="http://schemas.openxmlformats.org/officeDocument/2006/relationships/hyperlink" Target="https://prsindia.org/files/budget/budget_state/jharkhand/2025/Jharkhand_Budget_Analysis_2025-26.pdf" TargetMode="External"/><Relationship Id="rId333" Type="http://schemas.openxmlformats.org/officeDocument/2006/relationships/hyperlink" Target="https://www.pmindia.gov.in/en/news_updates/cabinet-approves-health-coverage-to-all-senior-citizens-of-the-age-70-years-and-above-irrespective-of-income-under-ayushman-bharat-pradhan-mantri-jan-arogya-yojana-ab-pm-jay/" TargetMode="External"/><Relationship Id="rId334" Type="http://schemas.openxmlformats.org/officeDocument/2006/relationships/hyperlink" Target="https://www.thehindu.com/news/national/mizoram/mizoram-govt-presents-budget-allocation-for-flagship-scheme/article69290190.ece" TargetMode="External"/><Relationship Id="rId335" Type="http://schemas.openxmlformats.org/officeDocument/2006/relationships/hyperlink" Target="https://www.pmindia.gov.in/en/news_updates/pm-launches-subhadra-the-largest-women-centric-scheme-in-bhubaneswar-odisha/" TargetMode="External"/><Relationship Id="rId336" Type="http://schemas.openxmlformats.org/officeDocument/2006/relationships/hyperlink" Target="https://m.economictimes.com/news/india/tripura-cm-manik-saha-announces-rs-564-crore-special-package-for-flood-affected-areas/articleshow/113140943.cms" TargetMode="External"/><Relationship Id="rId337" Type="http://schemas.openxmlformats.org/officeDocument/2006/relationships/hyperlink" Target="https://www.thehindu.com/news/national/assam/nijut-moina-scheme-first-instalment-of-monthly-stipend-handed-over-to-girl-students-in-assam/article68724539.ece" TargetMode="External"/><Relationship Id="rId338" Type="http://schemas.openxmlformats.org/officeDocument/2006/relationships/hyperlink" Target="https://www.business-standard.com/elections/jharkhand-elections/jharkhand-polls-how-maiya-samman-yojana-strengthened-soren-s-grip-in-state-124112300422_1.html" TargetMode="External"/><Relationship Id="rId339" Type="http://schemas.openxmlformats.org/officeDocument/2006/relationships/hyperlink" Target="https://www.pmindia.gov.in/en/news_updates/pm-launches-various-initiatives-related-to-the-agricultural-and-animal-husbandry-sector-worth-around-rs-23300-crore-in-washim-maharashtra/" TargetMode="External"/><Relationship Id="rId340" Type="http://schemas.openxmlformats.org/officeDocument/2006/relationships/hyperlink" Target="https://www.newindianexpress.com/states/andhra-pradesh/2024/Oct/31/deepam-2-scheme-beneficiaries-to-get-free-lpg-cylinders-from-november-1" TargetMode="External"/><Relationship Id="rId341" Type="http://schemas.openxmlformats.org/officeDocument/2006/relationships/hyperlink" Target="https://www.thenewsminute.com/kerala/union-govt-grants-rs-26056-crore-for-rebuilding-wayanad-hit-by-landslide" TargetMode="External"/><Relationship Id="rId342" Type="http://schemas.openxmlformats.org/officeDocument/2006/relationships/hyperlink" Target="https://prsindia.org/files/budget/budget_state/haryana/2025/Haryana_Budget_Analysis_2025-26.pdf" TargetMode="External"/><Relationship Id="rId343" Type="http://schemas.openxmlformats.org/officeDocument/2006/relationships/hyperlink" Target="https://prsindia.org/budgets/states/manipur-budget-analysis-2026-27" TargetMode="External"/><Relationship Id="rId344" Type="http://schemas.openxmlformats.org/officeDocument/2006/relationships/hyperlink" Target="https://www.thehindu.com/news/national/government-announces-8th-pay-commission-for-central-govt-employees/article69104291.ece" TargetMode="External"/><Relationship Id="rId345" Type="http://schemas.openxmlformats.org/officeDocument/2006/relationships/hyperlink" Target="https://www.thehindubusinessline.com/economy/agri-business/telangana-farmers-to-receive-rs-12000-per-acre-annually-under-rythu-bharosa-scheme/article69063900.ece" TargetMode="External"/><Relationship Id="rId346" Type="http://schemas.openxmlformats.org/officeDocument/2006/relationships/hyperlink" Target="https://www.aninews.in/news/national/general-news/arunachal-cabinet-approves-schemes-for-women-youth-and-state-development20250218095929" TargetMode="External"/><Relationship Id="rId347" Type="http://schemas.openxmlformats.org/officeDocument/2006/relationships/hyperlink" Target="https://www.pib.gov.in/PressReleasePage.aspx?PRID=2105745" TargetMode="External"/><Relationship Id="rId348" Type="http://schemas.openxmlformats.org/officeDocument/2006/relationships/hyperlink" Target="https://www.hindustantimes.com/india-news/at-delhi-rally-modi-hails-friendliest-budget-ever-101738521936250.html" TargetMode="External"/><Relationship Id="rId349" Type="http://schemas.openxmlformats.org/officeDocument/2006/relationships/hyperlink" Target="https://prsindia.org/files/budget/budget_state/delhi/2025/Delhi_Budget_Analysis_2025-26.pdf" TargetMode="External"/><Relationship Id="rId350" Type="http://schemas.openxmlformats.org/officeDocument/2006/relationships/hyperlink" Target="https://indianexpress.com/article/india/no-centralisation-of-power-no-bias-in-funds-amit-shah-as-bill-on-disasters-passed-9906187/" TargetMode="External"/><Relationship Id="rId351" Type="http://schemas.openxmlformats.org/officeDocument/2006/relationships/hyperlink" Target="https://prsindia.org/files/budget/budget_state/jammu-and-kashmir/2025/J%26K_Budget_Analysis_2025-26.pdf" TargetMode="External"/><Relationship Id="rId352" Type="http://schemas.openxmlformats.org/officeDocument/2006/relationships/hyperlink" Target="https://newsonair.gov.in/jk-cabinet-approves-key-budget-announcements-free-power-ration-for-aay-families-pension-hike/" TargetMode="External"/><Relationship Id="rId353" Type="http://schemas.openxmlformats.org/officeDocument/2006/relationships/hyperlink" Target="https://thesouthfirst.com/andhrapradesh/tdp-led-andhra-government-launches-talliki-vandanam-scheme-ahead-of-first-anniversary/" TargetMode="External"/><Relationship Id="rId354" Type="http://schemas.openxmlformats.org/officeDocument/2006/relationships/hyperlink" Target="https://indianexpress.com/article/india/bihar-govt-increases-old-age-widow-pension-by-rs-700-per-month-10080035/" TargetMode="External"/><Relationship Id="rId355" Type="http://schemas.openxmlformats.org/officeDocument/2006/relationships/hyperlink" Target="https://www.newindianexpress.com/india/2025/Jun/18/centre-approves-rs-200640-crore-assistance-for-himachal-pradesh-for-post-disaster-recovery-plan" TargetMode="External"/><Relationship Id="rId356" Type="http://schemas.openxmlformats.org/officeDocument/2006/relationships/hyperlink" Target="https://www.newindianexpress.com/india/2025/Jul/18/bihar-cabinet-gives-nod-for-free-electricity-upto-125-units-167-crore-power-consumers-to-benefit" TargetMode="External"/><Relationship Id="rId357" Type="http://schemas.openxmlformats.org/officeDocument/2006/relationships/hyperlink" Target="https://www.tribuneindia.com/news/punjab/punjab-cabinet-gives-nod-to-scheme-providing-rs-10-lakh-health-cover-to-all-families" TargetMode="External"/><Relationship Id="rId358" Type="http://schemas.openxmlformats.org/officeDocument/2006/relationships/hyperlink" Target="https://www.newindianexpress.com/states/andhra-pradesh/2026/Aug/15/stree-shakti-turns-one-clocks-over-87-crore-trips" TargetMode="External"/><Relationship Id="rId359" Type="http://schemas.openxmlformats.org/officeDocument/2006/relationships/hyperlink" Target="https://m.economictimes.com/news/india/bihar-cm-transfers-rs-456-cr-to-bank-accounts-of-flood-hit-families/articleshow/123404600.cms" TargetMode="External"/><Relationship Id="rId360" Type="http://schemas.openxmlformats.org/officeDocument/2006/relationships/hyperlink" Target="https://www.thehindu.com/news/national/tamil-nadu/cms-breakfast-scheme-to-be-expanded-to-benefit-2059-lakh-students-says-stalin/article69972026.ece" TargetMode="External"/><Relationship Id="rId361" Type="http://schemas.openxmlformats.org/officeDocument/2006/relationships/hyperlink" Target="https://www.thehindu.com/elections/bihar-assembly/pm-modi-launches-bihars-mukhyamantri-mahila-rojgar-yojana/article70096776.ece" TargetMode="External"/><Relationship Id="rId362" Type="http://schemas.openxmlformats.org/officeDocument/2006/relationships/hyperlink" Target="https://timesofindia.indiatimes.com/india/bihar-elections-nitish-kumar-announces-interest-free-education-loans-under-student-credit-card-scheme-all-you-need-to-know/articleshow/123915868.cms" TargetMode="External"/><Relationship Id="rId363" Type="http://schemas.openxmlformats.org/officeDocument/2006/relationships/hyperlink" Target="https://www.tribuneindia.com/news/haryana/cm-nayab-saini-launches-deendayal-lado-lakshmi-yojana-eligible-women-to-receive-rs-2100-monthly" TargetMode="External"/><Relationship Id="rId364" Type="http://schemas.openxmlformats.org/officeDocument/2006/relationships/hyperlink" Target="https://www.hindustantimes.com/business/new-two-tier-gst-structure-to-kick-in-from-22-september-nirmala-sitharaman-101756917458027.html" TargetMode="External"/><Relationship Id="rId365" Type="http://schemas.openxmlformats.org/officeDocument/2006/relationships/hyperlink" Target="https://indianexpress.com/article/cities/chandigarh/punjab-flood-compensation-farmers-aid-10238014/" TargetMode="External"/><Relationship Id="rId366" Type="http://schemas.openxmlformats.org/officeDocument/2006/relationships/hyperlink" Target="https://indianexpress.com/article/cities/chandigarh/punjab-flood-relief-mann-says-shah-promised-more-mha-utlise-rs-12589-cr-sdrf-10281114/" TargetMode="External"/><Relationship Id="rId367" Type="http://schemas.openxmlformats.org/officeDocument/2006/relationships/hyperlink" Target="https://indianexpress.com/article/political-pulse/the-asoni-election-schemes-for-women-may-decide-assam-contest-but-price-rise-remains-a-worry-10614409/" TargetMode="External"/><Relationship Id="rId368" Type="http://schemas.openxmlformats.org/officeDocument/2006/relationships/hyperlink" Target="https://indianexpress.com/article/cities/thiruvananthapuram/ahead-of-local-body-polls-kerala-govt-opens-purse-strings-for-women-youth-and-pensioners-10334851/" TargetMode="External"/><Relationship Id="rId369" Type="http://schemas.openxmlformats.org/officeDocument/2006/relationships/hyperlink" Target="https://www.newindianexpress.com/states/kerala/2025/Oct/30/cm-pinarayi-vijayans-mini-budget-raises-questions-over-fiscal-sustainability" TargetMode="External"/><Relationship Id="rId370" Type="http://schemas.openxmlformats.org/officeDocument/2006/relationships/hyperlink" Target="https://ddnews.gov.in/en/pm-modi-releases-21st-instalment-of-pm-kisan-&#8377;18000-crore-transferred-to-farmers/" TargetMode="External"/><Relationship Id="rId371" Type="http://schemas.openxmlformats.org/officeDocument/2006/relationships/hyperlink" Target="https://www.hindustantimes.com/india-news/parliament-passes-new-vb-g-ram-g-bill-to-replace-mgnrega-amid-opposition-walkout-101766086029025.html" TargetMode="External"/><Relationship Id="rId372" Type="http://schemas.openxmlformats.org/officeDocument/2006/relationships/hyperlink" Target="https://www.newindianexpress.com/states/andhra-pradesh/2026/Sep/23/rs-33485-crore-for-ntr-bharosa-pensions-in-2026-27-minister-kondapalli-srinivas" TargetMode="External"/><Relationship Id="rId373" Type="http://schemas.openxmlformats.org/officeDocument/2006/relationships/hyperlink" Target="https://bucketapi.rajyasabha.digital/public-bucket/uploads/committee/2026_08_21_committee_3339_976_6a881941b462a.pdf" TargetMode="External"/><Relationship Id="rId374" Type="http://schemas.openxmlformats.org/officeDocument/2006/relationships/hyperlink" Target="https://www.thehindu.com/news/national/maharashtra/ladki-bahin-scheme-maharashtra-election-commission-model-code-polls/article70501117.ece" TargetMode="External"/><Relationship Id="rId375" Type="http://schemas.openxmlformats.org/officeDocument/2006/relationships/hyperlink" Target="https://www.newindianexpress.com/states/tamil-nadu/2026/Jan/04/tamil-nadu-government-announces-rs-3000-cash-assistance-per-ration-card-ahead-of-pongal" TargetMode="External"/><Relationship Id="rId376" Type="http://schemas.openxmlformats.org/officeDocument/2006/relationships/hyperlink" Target="https://www.indiabudget.gov.in/doc/Budget_Speech.pdf" TargetMode="External"/><Relationship Id="rId377" Type="http://schemas.openxmlformats.org/officeDocument/2006/relationships/hyperlink" Target="https://www.thehindu.com/news/national/tamil-nadu/opposition-parties-slam-tamil-nadu-cm-stalin-5000-payout-to-women-under-kalaignar-magalir-urimai-thogai-scheme/article70627629.ece" TargetMode="External"/><Relationship Id="rId378" Type="http://schemas.openxmlformats.org/officeDocument/2006/relationships/hyperlink" Target="https://indianexpress.com/article/cities/kolkata/ahead-of-bengal-2026-assembly-elections-tmc-govt-announces-rs-500-hike-for-lakshmir-bhandar-beneficiaries-10515653/" TargetMode="External"/><Relationship Id="rId379" Type="http://schemas.openxmlformats.org/officeDocument/2006/relationships/hyperlink" Target="https://timesofindia.indiatimes.com/city/kolkata/west-bengal-voa-yuba-sathi-debuts-social-schemes-get-fund-boost-in-poll-year/articleshow/127972109.cms" TargetMode="External"/><Relationship Id="rId380" Type="http://schemas.openxmlformats.org/officeDocument/2006/relationships/hyperlink" Target="https://prsindia.org/budgets/states/assam-budget-analysis-2026-27" TargetMode="External"/><Relationship Id="rId381" Type="http://schemas.openxmlformats.org/officeDocument/2006/relationships/hyperlink" Target="https://prsindia.org/budgets/states/manipur-budget-analysis-2026-27" TargetMode="External"/><Relationship Id="rId382" Type="http://schemas.openxmlformats.org/officeDocument/2006/relationships/hyperlink" Target="https://indianexpress.com/article/cities/chandigarh/punjab-budget-2026-women-monthly-assistance-mawan-dhiyan-satikar-yojana-10571040/" TargetMode="External"/><Relationship Id="rId383" Type="http://schemas.openxmlformats.org/officeDocument/2006/relationships/hyperlink" Target="https://garhwalpost.in/cm-transfers-rs-145-93-crores-to-beneficiaries-under-nanda-gaura-yojana-through-dbt/" TargetMode="External"/><Relationship Id="rId384" Type="http://schemas.openxmlformats.org/officeDocument/2006/relationships/hyperlink" Target="https://prsindia.org/budgets/states/kerala-budget-analysis-2026-27" TargetMode="External"/><Relationship Id="rId385" Type="http://schemas.openxmlformats.org/officeDocument/2006/relationships/hyperlink" Target="https://indianexpress.com/article/cities/kolkata/annapurna-yojana-first-tranche-credited-26-lakh-applications-rejected-suvendu-adhikari-10766931/" TargetMode="External"/><Relationship Id="rId386" Type="http://schemas.openxmlformats.org/officeDocument/2006/relationships/hyperlink" Target="https://indianexpress.com/article/explained/ayushman-bharat-launch-swasthya-sathi-west-bengal-suvendu-adhikari-10730450/" TargetMode="External"/><Relationship Id="rId387" Type="http://schemas.openxmlformats.org/officeDocument/2006/relationships/hyperlink" Target="https://www.newindianexpress.com/states/tamil-nadu/2026/Aug/25/tn-government-expands-free-bus-travel-for-women-to-deluxe-mofussil-buses" TargetMode="External"/><Relationship Id="rId388" Type="http://schemas.openxmlformats.org/officeDocument/2006/relationships/hyperlink" Target="https://timesofindia.indiatimes.com/india/uttarakhand-cm-dhami-announces-free-bus-travel-pink-e-buses-for-women-on-raksha-bandhan/articleshow/133593963.cms" TargetMode="External"/><Relationship Id="rId389" Type="http://schemas.openxmlformats.org/officeDocument/2006/relationships/hyperlink" Target="https://indianexpress.com/article/cities/kolkata/bengal-joins-beti-bachao-beti-padhao-suvendu-adhikari-10834375/" TargetMode="External"/><Relationship Id="rId39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4" t="s">
        <v>12</v>
      </c>
    </row>
    <row r="9" customFormat="false" ht="15" hidden="false" customHeight="false" outlineLevel="0" collapsed="false">
      <c r="A9" s="2" t="s">
        <v>13</v>
      </c>
      <c r="B9" s="3" t="s">
        <v>14</v>
      </c>
    </row>
    <row r="11" customFormat="false" ht="15" hidden="false" customHeight="false" outlineLevel="0" collapsed="false">
      <c r="A11" s="5" t="s">
        <v>15</v>
      </c>
    </row>
    <row r="12" customFormat="false" ht="39.55" hidden="false" customHeight="false" outlineLevel="0" collapsed="false">
      <c r="A12" s="2" t="s">
        <v>16</v>
      </c>
      <c r="B12" s="3" t="s">
        <v>17</v>
      </c>
    </row>
    <row r="13" customFormat="false" ht="90.25" hidden="false" customHeight="false" outlineLevel="0" collapsed="false">
      <c r="A13" s="2" t="s">
        <v>18</v>
      </c>
      <c r="B13" s="3" t="s">
        <v>19</v>
      </c>
    </row>
    <row r="14" customFormat="false" ht="39.55" hidden="false" customHeight="false" outlineLevel="0" collapsed="false">
      <c r="A14" s="2" t="s">
        <v>20</v>
      </c>
      <c r="B14" s="3" t="s">
        <v>21</v>
      </c>
    </row>
    <row r="15" customFormat="false" ht="52.2" hidden="false" customHeight="false" outlineLevel="0" collapsed="false">
      <c r="A15" s="2" t="s">
        <v>22</v>
      </c>
      <c r="B15" s="3" t="s">
        <v>23</v>
      </c>
    </row>
    <row r="16" customFormat="false" ht="26.85" hidden="false" customHeight="false" outlineLevel="0" collapsed="false">
      <c r="A16" s="2" t="s">
        <v>24</v>
      </c>
      <c r="B16" s="3" t="s">
        <v>25</v>
      </c>
    </row>
    <row r="17" customFormat="false" ht="26.85" hidden="false" customHeight="false" outlineLevel="0" collapsed="false">
      <c r="A17" s="2" t="s">
        <v>26</v>
      </c>
      <c r="B17" s="3" t="s">
        <v>27</v>
      </c>
    </row>
    <row r="19" customFormat="false" ht="15" hidden="false" customHeight="false" outlineLevel="0" collapsed="false">
      <c r="A19" s="6" t="s">
        <v>28</v>
      </c>
      <c r="B19" s="6" t="s">
        <v>29</v>
      </c>
    </row>
    <row r="20" customFormat="false" ht="15" hidden="false" customHeight="false" outlineLevel="0" collapsed="false">
      <c r="A20" s="2" t="s">
        <v>30</v>
      </c>
      <c r="B20" s="3" t="s">
        <v>31</v>
      </c>
    </row>
    <row r="21" customFormat="false" ht="15" hidden="false" customHeight="false" outlineLevel="0" collapsed="false">
      <c r="A21" s="2" t="s">
        <v>32</v>
      </c>
      <c r="B21" s="3" t="s">
        <v>33</v>
      </c>
    </row>
    <row r="22" customFormat="false" ht="15" hidden="false" customHeight="false" outlineLevel="0" collapsed="false">
      <c r="A22" s="2" t="s">
        <v>34</v>
      </c>
      <c r="B22" s="3" t="s">
        <v>35</v>
      </c>
    </row>
    <row r="23" customFormat="false" ht="15" hidden="false" customHeight="false" outlineLevel="0" collapsed="false">
      <c r="A23" s="2" t="s">
        <v>36</v>
      </c>
      <c r="B23" s="3" t="s">
        <v>37</v>
      </c>
    </row>
    <row r="24" customFormat="false" ht="15" hidden="false" customHeight="false" outlineLevel="0" collapsed="false">
      <c r="A24" s="2" t="s">
        <v>38</v>
      </c>
      <c r="B24" s="3" t="s">
        <v>39</v>
      </c>
    </row>
    <row r="25" customFormat="false" ht="15" hidden="false" customHeight="false" outlineLevel="0" collapsed="false">
      <c r="A25" s="2" t="s">
        <v>40</v>
      </c>
      <c r="B25" s="3" t="s">
        <v>41</v>
      </c>
    </row>
    <row r="26" customFormat="false" ht="15" hidden="false" customHeight="false" outlineLevel="0" collapsed="false">
      <c r="A26" s="2" t="s">
        <v>42</v>
      </c>
      <c r="B26" s="3" t="s">
        <v>43</v>
      </c>
    </row>
    <row r="27" customFormat="false" ht="15" hidden="false" customHeight="false" outlineLevel="0" collapsed="false">
      <c r="A27" s="2" t="s">
        <v>44</v>
      </c>
      <c r="B27" s="3" t="s">
        <v>45</v>
      </c>
    </row>
    <row r="28" customFormat="false" ht="15" hidden="false" customHeight="false" outlineLevel="0" collapsed="false">
      <c r="A28" s="2" t="s">
        <v>46</v>
      </c>
      <c r="B28" s="3" t="s">
        <v>47</v>
      </c>
    </row>
    <row r="29" customFormat="false" ht="15" hidden="false" customHeight="false" outlineLevel="0" collapsed="false">
      <c r="A29" s="2" t="s">
        <v>48</v>
      </c>
      <c r="B29" s="3" t="s">
        <v>49</v>
      </c>
    </row>
    <row r="30" customFormat="false" ht="26.85" hidden="false" customHeight="false" outlineLevel="0" collapsed="false">
      <c r="A30" s="2" t="s">
        <v>50</v>
      </c>
      <c r="B30" s="3" t="s">
        <v>51</v>
      </c>
    </row>
    <row r="31" customFormat="false" ht="15" hidden="false" customHeight="false" outlineLevel="0" collapsed="false">
      <c r="A31" s="2" t="s">
        <v>52</v>
      </c>
      <c r="B31" s="3" t="s">
        <v>53</v>
      </c>
    </row>
    <row r="32" customFormat="false" ht="15" hidden="false" customHeight="false" outlineLevel="0" collapsed="false">
      <c r="A32" s="2" t="s">
        <v>54</v>
      </c>
      <c r="B32" s="3" t="s">
        <v>55</v>
      </c>
    </row>
    <row r="33" customFormat="false" ht="15" hidden="false" customHeight="false" outlineLevel="0" collapsed="false">
      <c r="A33" s="2" t="s">
        <v>56</v>
      </c>
      <c r="B33" s="3" t="s">
        <v>57</v>
      </c>
    </row>
    <row r="34" customFormat="false" ht="15" hidden="false" customHeight="false" outlineLevel="0" collapsed="false">
      <c r="A34" s="2" t="s">
        <v>58</v>
      </c>
      <c r="B34" s="3" t="s">
        <v>59</v>
      </c>
    </row>
    <row r="35" customFormat="false" ht="15" hidden="false" customHeight="false" outlineLevel="0" collapsed="false">
      <c r="A35" s="2" t="s">
        <v>60</v>
      </c>
      <c r="B35" s="3" t="s">
        <v>61</v>
      </c>
    </row>
    <row r="36" customFormat="false" ht="15" hidden="false" customHeight="false" outlineLevel="0" collapsed="false">
      <c r="A36" s="2" t="s">
        <v>62</v>
      </c>
      <c r="B36" s="3" t="s">
        <v>63</v>
      </c>
    </row>
    <row r="37" customFormat="false" ht="26.85" hidden="false" customHeight="false" outlineLevel="0" collapsed="false">
      <c r="A37" s="2" t="s">
        <v>64</v>
      </c>
      <c r="B37" s="3" t="s">
        <v>65</v>
      </c>
    </row>
    <row r="38" customFormat="false" ht="15" hidden="false" customHeight="false" outlineLevel="0" collapsed="false">
      <c r="A38" s="2" t="s">
        <v>66</v>
      </c>
      <c r="B38" s="3" t="s">
        <v>67</v>
      </c>
    </row>
    <row r="39" customFormat="false" ht="26.85" hidden="false" customHeight="false" outlineLevel="0" collapsed="false">
      <c r="A39" s="2" t="s">
        <v>68</v>
      </c>
      <c r="B39" s="3" t="s">
        <v>69</v>
      </c>
    </row>
    <row r="40" customFormat="false" ht="15" hidden="false" customHeight="false" outlineLevel="0" collapsed="false">
      <c r="A40" s="2" t="s">
        <v>70</v>
      </c>
      <c r="B40" s="3" t="s">
        <v>71</v>
      </c>
    </row>
    <row r="41" customFormat="false" ht="15" hidden="false" customHeight="false" outlineLevel="0" collapsed="false">
      <c r="A41" s="2" t="s">
        <v>72</v>
      </c>
      <c r="B41" s="3" t="s">
        <v>73</v>
      </c>
    </row>
    <row r="42" customFormat="false" ht="15" hidden="false" customHeight="false" outlineLevel="0" collapsed="false">
      <c r="A42" s="2" t="s">
        <v>74</v>
      </c>
      <c r="B42" s="3" t="s">
        <v>75</v>
      </c>
    </row>
    <row r="43" customFormat="false" ht="15" hidden="false" customHeight="false" outlineLevel="0" collapsed="false">
      <c r="A43" s="2" t="s">
        <v>76</v>
      </c>
      <c r="B43" s="3" t="s">
        <v>77</v>
      </c>
    </row>
    <row r="44" customFormat="false" ht="15" hidden="false" customHeight="false" outlineLevel="0" collapsed="false">
      <c r="A44" s="2" t="s">
        <v>78</v>
      </c>
      <c r="B44" s="3" t="s">
        <v>79</v>
      </c>
    </row>
    <row r="45" customFormat="false" ht="15" hidden="false" customHeight="false" outlineLevel="0" collapsed="false">
      <c r="A45" s="2" t="s">
        <v>80</v>
      </c>
      <c r="B45" s="3" t="s">
        <v>81</v>
      </c>
    </row>
  </sheetData>
  <hyperlinks>
    <hyperlink ref="B8" r:id="rId1" location="/money/ledger" display="https://occult-kranti.github.io/fact-duel/hisaab/#/money/ledg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12"/>
    <col collapsed="false" customWidth="true" hidden="false" outlineLevel="0" max="4" min="4" style="0" width="7"/>
    <col collapsed="false" customWidth="true" hidden="false" outlineLevel="0" max="5" min="5" style="0" width="34"/>
    <col collapsed="false" customWidth="true" hidden="false" outlineLevel="0" max="6" min="6" style="0" width="13"/>
    <col collapsed="false" customWidth="true" hidden="false" outlineLevel="0" max="7" min="7" style="0" width="26"/>
    <col collapsed="false" customWidth="true" hidden="false" outlineLevel="0" max="8" min="8" style="0" width="8"/>
    <col collapsed="false" customWidth="true" hidden="false" outlineLevel="0" max="9" min="9" style="0" width="7"/>
    <col collapsed="false" customWidth="true" hidden="false" outlineLevel="0" max="10" min="10" style="0" width="18"/>
    <col collapsed="false" customWidth="true" hidden="false" outlineLevel="0" max="11" min="11" style="0" width="14"/>
    <col collapsed="false" customWidth="true" hidden="false" outlineLevel="0" max="12" min="12" style="0" width="40"/>
    <col collapsed="false" customWidth="true" hidden="false" outlineLevel="0" max="13" min="13" style="0" width="52"/>
    <col collapsed="false" customWidth="true" hidden="false" outlineLevel="0" max="14" min="14" style="0" width="34"/>
    <col collapsed="false" customWidth="true" hidden="false" outlineLevel="0" max="15" min="15" style="0" width="36"/>
    <col collapsed="false" customWidth="true" hidden="false" outlineLevel="0" max="16" min="16" style="0" width="30"/>
    <col collapsed="false" customWidth="true" hidden="false" outlineLevel="0" max="18" min="17" style="0" width="10"/>
    <col collapsed="false" customWidth="true" hidden="false" outlineLevel="0" max="19" min="19" style="0" width="40"/>
    <col collapsed="false" customWidth="true" hidden="false" outlineLevel="0" max="20" min="20" style="0" width="64"/>
    <col collapsed="false" customWidth="true" hidden="false" outlineLevel="0" max="21" min="21" style="0" width="12"/>
    <col collapsed="false" customWidth="true" hidden="false" outlineLevel="0" max="23" min="22" style="0" width="22"/>
    <col collapsed="false" customWidth="true" hidden="false" outlineLevel="0" max="24" min="24" style="0" width="44"/>
    <col collapsed="false" customWidth="true" hidden="false" outlineLevel="0" max="26" min="25" style="0" width="52"/>
  </cols>
  <sheetData>
    <row r="1" customFormat="false" ht="39.55" hidden="false" customHeight="false" outlineLevel="0" collapsed="false">
      <c r="A1" s="6" t="s">
        <v>30</v>
      </c>
      <c r="B1" s="6" t="s">
        <v>32</v>
      </c>
      <c r="C1" s="6" t="s">
        <v>34</v>
      </c>
      <c r="D1" s="6" t="s">
        <v>36</v>
      </c>
      <c r="E1" s="6" t="s">
        <v>38</v>
      </c>
      <c r="F1" s="6" t="s">
        <v>40</v>
      </c>
      <c r="G1" s="6" t="s">
        <v>42</v>
      </c>
      <c r="H1" s="6" t="s">
        <v>44</v>
      </c>
      <c r="I1" s="6" t="s">
        <v>46</v>
      </c>
      <c r="J1" s="6" t="s">
        <v>48</v>
      </c>
      <c r="K1" s="6" t="s">
        <v>50</v>
      </c>
      <c r="L1" s="6" t="s">
        <v>52</v>
      </c>
      <c r="M1" s="6" t="s">
        <v>54</v>
      </c>
      <c r="N1" s="6" t="s">
        <v>56</v>
      </c>
      <c r="O1" s="6" t="s">
        <v>58</v>
      </c>
      <c r="P1" s="6" t="s">
        <v>60</v>
      </c>
      <c r="Q1" s="6" t="s">
        <v>62</v>
      </c>
      <c r="R1" s="6" t="s">
        <v>64</v>
      </c>
      <c r="S1" s="6" t="s">
        <v>66</v>
      </c>
      <c r="T1" s="6" t="s">
        <v>68</v>
      </c>
      <c r="U1" s="6" t="s">
        <v>70</v>
      </c>
      <c r="V1" s="6" t="s">
        <v>72</v>
      </c>
      <c r="W1" s="6" t="s">
        <v>74</v>
      </c>
      <c r="X1" s="6" t="s">
        <v>76</v>
      </c>
      <c r="Y1" s="6" t="s">
        <v>78</v>
      </c>
      <c r="Z1" s="6" t="s">
        <v>80</v>
      </c>
    </row>
    <row r="2" customFormat="false" ht="26.85" hidden="false" customHeight="false" outlineLevel="0" collapsed="false">
      <c r="A2" s="7" t="s">
        <v>82</v>
      </c>
      <c r="B2" s="7" t="s">
        <v>83</v>
      </c>
      <c r="C2" s="7"/>
      <c r="D2" s="7" t="n">
        <v>2000</v>
      </c>
      <c r="E2" s="3" t="s">
        <v>84</v>
      </c>
      <c r="F2" s="7" t="s">
        <v>85</v>
      </c>
      <c r="G2" s="3" t="s">
        <v>86</v>
      </c>
      <c r="H2" s="7" t="s">
        <v>87</v>
      </c>
      <c r="I2" s="7" t="s">
        <v>88</v>
      </c>
      <c r="J2" s="7" t="s">
        <v>89</v>
      </c>
      <c r="K2" s="7" t="s">
        <v>90</v>
      </c>
      <c r="L2" s="3"/>
      <c r="M2" s="3" t="s">
        <v>91</v>
      </c>
      <c r="N2" s="3" t="s">
        <v>92</v>
      </c>
      <c r="O2" s="3"/>
      <c r="P2" s="3"/>
      <c r="Q2" s="7"/>
      <c r="R2" s="7"/>
      <c r="S2" s="3"/>
      <c r="T2" s="3" t="s">
        <v>93</v>
      </c>
      <c r="U2" s="7"/>
      <c r="V2" s="3" t="s">
        <v>85</v>
      </c>
      <c r="W2" s="3" t="s">
        <v>94</v>
      </c>
      <c r="X2" s="3" t="s">
        <v>95</v>
      </c>
      <c r="Y2" s="3" t="s">
        <v>96</v>
      </c>
      <c r="Z2" s="8" t="s">
        <v>97</v>
      </c>
    </row>
    <row r="3" customFormat="false" ht="26.85" hidden="false" customHeight="false" outlineLevel="0" collapsed="false">
      <c r="A3" s="7" t="s">
        <v>98</v>
      </c>
      <c r="B3" s="7" t="s">
        <v>83</v>
      </c>
      <c r="C3" s="7"/>
      <c r="D3" s="7" t="n">
        <v>2000</v>
      </c>
      <c r="E3" s="3" t="s">
        <v>99</v>
      </c>
      <c r="F3" s="7" t="s">
        <v>85</v>
      </c>
      <c r="G3" s="3" t="s">
        <v>86</v>
      </c>
      <c r="H3" s="7" t="s">
        <v>100</v>
      </c>
      <c r="I3" s="7" t="s">
        <v>101</v>
      </c>
      <c r="J3" s="7" t="s">
        <v>102</v>
      </c>
      <c r="K3" s="7" t="s">
        <v>103</v>
      </c>
      <c r="L3" s="3"/>
      <c r="M3" s="3" t="s">
        <v>104</v>
      </c>
      <c r="N3" s="3"/>
      <c r="O3" s="3" t="s">
        <v>105</v>
      </c>
      <c r="P3" s="3"/>
      <c r="Q3" s="7"/>
      <c r="R3" s="7"/>
      <c r="S3" s="3"/>
      <c r="T3" s="3" t="s">
        <v>106</v>
      </c>
      <c r="U3" s="7"/>
      <c r="V3" s="3" t="s">
        <v>85</v>
      </c>
      <c r="W3" s="3" t="s">
        <v>107</v>
      </c>
      <c r="X3" s="3" t="s">
        <v>108</v>
      </c>
      <c r="Y3" s="3" t="s">
        <v>109</v>
      </c>
      <c r="Z3" s="8" t="s">
        <v>110</v>
      </c>
    </row>
    <row r="4" customFormat="false" ht="26.85" hidden="false" customHeight="false" outlineLevel="0" collapsed="false">
      <c r="A4" s="7" t="s">
        <v>111</v>
      </c>
      <c r="B4" s="7" t="s">
        <v>83</v>
      </c>
      <c r="C4" s="7"/>
      <c r="D4" s="7" t="n">
        <v>2000</v>
      </c>
      <c r="E4" s="3" t="s">
        <v>112</v>
      </c>
      <c r="F4" s="7" t="s">
        <v>85</v>
      </c>
      <c r="G4" s="3" t="s">
        <v>86</v>
      </c>
      <c r="H4" s="7" t="s">
        <v>100</v>
      </c>
      <c r="I4" s="7" t="s">
        <v>101</v>
      </c>
      <c r="J4" s="7" t="s">
        <v>102</v>
      </c>
      <c r="K4" s="7" t="s">
        <v>103</v>
      </c>
      <c r="L4" s="3"/>
      <c r="M4" s="3" t="s">
        <v>113</v>
      </c>
      <c r="N4" s="3"/>
      <c r="O4" s="3" t="s">
        <v>114</v>
      </c>
      <c r="P4" s="3"/>
      <c r="Q4" s="7"/>
      <c r="R4" s="7"/>
      <c r="S4" s="3"/>
      <c r="T4" s="3" t="s">
        <v>115</v>
      </c>
      <c r="U4" s="7"/>
      <c r="V4" s="3" t="s">
        <v>85</v>
      </c>
      <c r="W4" s="3" t="s">
        <v>116</v>
      </c>
      <c r="X4" s="3" t="s">
        <v>117</v>
      </c>
      <c r="Y4" s="3" t="s">
        <v>118</v>
      </c>
      <c r="Z4" s="8" t="s">
        <v>119</v>
      </c>
    </row>
    <row r="5" customFormat="false" ht="26.85" hidden="false" customHeight="false" outlineLevel="0" collapsed="false">
      <c r="A5" s="7" t="s">
        <v>120</v>
      </c>
      <c r="B5" s="7" t="s">
        <v>83</v>
      </c>
      <c r="C5" s="7" t="s">
        <v>121</v>
      </c>
      <c r="D5" s="7" t="n">
        <v>2000</v>
      </c>
      <c r="E5" s="3" t="s">
        <v>122</v>
      </c>
      <c r="F5" s="7" t="s">
        <v>123</v>
      </c>
      <c r="G5" s="3" t="s">
        <v>124</v>
      </c>
      <c r="H5" s="7" t="s">
        <v>87</v>
      </c>
      <c r="I5" s="7" t="s">
        <v>125</v>
      </c>
      <c r="J5" s="7" t="s">
        <v>126</v>
      </c>
      <c r="K5" s="7" t="s">
        <v>127</v>
      </c>
      <c r="L5" s="3"/>
      <c r="M5" s="3" t="s">
        <v>128</v>
      </c>
      <c r="N5" s="3"/>
      <c r="O5" s="3"/>
      <c r="P5" s="3" t="s">
        <v>129</v>
      </c>
      <c r="Q5" s="7" t="s">
        <v>130</v>
      </c>
      <c r="R5" s="7"/>
      <c r="S5" s="3" t="s">
        <v>131</v>
      </c>
      <c r="T5" s="3" t="s">
        <v>132</v>
      </c>
      <c r="U5" s="7"/>
      <c r="V5" s="3" t="s">
        <v>123</v>
      </c>
      <c r="W5" s="3" t="s">
        <v>133</v>
      </c>
      <c r="X5" s="3" t="s">
        <v>134</v>
      </c>
      <c r="Y5" s="3" t="s">
        <v>135</v>
      </c>
      <c r="Z5" s="8" t="s">
        <v>136</v>
      </c>
    </row>
    <row r="6" customFormat="false" ht="26.85" hidden="false" customHeight="false" outlineLevel="0" collapsed="false">
      <c r="A6" s="7" t="s">
        <v>137</v>
      </c>
      <c r="B6" s="7" t="s">
        <v>138</v>
      </c>
      <c r="C6" s="7"/>
      <c r="D6" s="7" t="n">
        <v>2000</v>
      </c>
      <c r="E6" s="3" t="s">
        <v>139</v>
      </c>
      <c r="F6" s="7" t="s">
        <v>140</v>
      </c>
      <c r="G6" s="3" t="s">
        <v>141</v>
      </c>
      <c r="H6" s="7" t="s">
        <v>100</v>
      </c>
      <c r="I6" s="7" t="s">
        <v>101</v>
      </c>
      <c r="J6" s="7" t="s">
        <v>102</v>
      </c>
      <c r="K6" s="7" t="s">
        <v>103</v>
      </c>
      <c r="L6" s="3" t="s">
        <v>142</v>
      </c>
      <c r="M6" s="3" t="s">
        <v>143</v>
      </c>
      <c r="N6" s="3" t="s">
        <v>144</v>
      </c>
      <c r="O6" s="3"/>
      <c r="P6" s="3"/>
      <c r="Q6" s="7"/>
      <c r="R6" s="7"/>
      <c r="S6" s="3"/>
      <c r="T6" s="3" t="s">
        <v>145</v>
      </c>
      <c r="U6" s="7"/>
      <c r="V6" s="3" t="s">
        <v>140</v>
      </c>
      <c r="W6" s="3" t="s">
        <v>146</v>
      </c>
      <c r="X6" s="3" t="s">
        <v>147</v>
      </c>
      <c r="Y6" s="3" t="s">
        <v>148</v>
      </c>
      <c r="Z6" s="8" t="s">
        <v>149</v>
      </c>
    </row>
    <row r="7" customFormat="false" ht="26.85" hidden="false" customHeight="false" outlineLevel="0" collapsed="false">
      <c r="A7" s="7" t="s">
        <v>150</v>
      </c>
      <c r="B7" s="7" t="s">
        <v>151</v>
      </c>
      <c r="C7" s="7"/>
      <c r="D7" s="7" t="n">
        <v>2000</v>
      </c>
      <c r="E7" s="3" t="s">
        <v>152</v>
      </c>
      <c r="F7" s="7" t="s">
        <v>140</v>
      </c>
      <c r="G7" s="3" t="s">
        <v>141</v>
      </c>
      <c r="H7" s="7" t="s">
        <v>100</v>
      </c>
      <c r="I7" s="7" t="s">
        <v>101</v>
      </c>
      <c r="J7" s="7" t="s">
        <v>102</v>
      </c>
      <c r="K7" s="7" t="s">
        <v>103</v>
      </c>
      <c r="L7" s="3" t="s">
        <v>153</v>
      </c>
      <c r="M7" s="3" t="s">
        <v>154</v>
      </c>
      <c r="N7" s="3" t="s">
        <v>155</v>
      </c>
      <c r="O7" s="3"/>
      <c r="P7" s="3"/>
      <c r="Q7" s="7"/>
      <c r="R7" s="7"/>
      <c r="S7" s="3"/>
      <c r="T7" s="3" t="s">
        <v>156</v>
      </c>
      <c r="U7" s="7"/>
      <c r="V7" s="3" t="s">
        <v>140</v>
      </c>
      <c r="W7" s="3" t="s">
        <v>157</v>
      </c>
      <c r="X7" s="3" t="s">
        <v>158</v>
      </c>
      <c r="Y7" s="3" t="s">
        <v>159</v>
      </c>
      <c r="Z7" s="8" t="s">
        <v>160</v>
      </c>
    </row>
    <row r="8" customFormat="false" ht="26.85" hidden="false" customHeight="false" outlineLevel="0" collapsed="false">
      <c r="A8" s="7" t="s">
        <v>161</v>
      </c>
      <c r="B8" s="7" t="s">
        <v>162</v>
      </c>
      <c r="C8" s="7"/>
      <c r="D8" s="7" t="n">
        <v>2001</v>
      </c>
      <c r="E8" s="3" t="s">
        <v>163</v>
      </c>
      <c r="F8" s="7" t="s">
        <v>85</v>
      </c>
      <c r="G8" s="3" t="s">
        <v>86</v>
      </c>
      <c r="H8" s="7" t="s">
        <v>87</v>
      </c>
      <c r="I8" s="7" t="s">
        <v>164</v>
      </c>
      <c r="J8" s="7" t="s">
        <v>165</v>
      </c>
      <c r="K8" s="7" t="s">
        <v>166</v>
      </c>
      <c r="L8" s="3"/>
      <c r="M8" s="3" t="s">
        <v>167</v>
      </c>
      <c r="N8" s="3"/>
      <c r="O8" s="3"/>
      <c r="P8" s="3"/>
      <c r="Q8" s="7"/>
      <c r="R8" s="7"/>
      <c r="S8" s="3"/>
      <c r="T8" s="3" t="s">
        <v>168</v>
      </c>
      <c r="U8" s="7"/>
      <c r="V8" s="3" t="s">
        <v>85</v>
      </c>
      <c r="W8" s="3" t="s">
        <v>169</v>
      </c>
      <c r="X8" s="3" t="s">
        <v>170</v>
      </c>
      <c r="Y8" s="3" t="s">
        <v>171</v>
      </c>
      <c r="Z8" s="8" t="s">
        <v>172</v>
      </c>
    </row>
    <row r="9" customFormat="false" ht="26.85" hidden="false" customHeight="false" outlineLevel="0" collapsed="false">
      <c r="A9" s="7" t="s">
        <v>173</v>
      </c>
      <c r="B9" s="7" t="s">
        <v>162</v>
      </c>
      <c r="C9" s="7"/>
      <c r="D9" s="7" t="n">
        <v>2001</v>
      </c>
      <c r="E9" s="3" t="s">
        <v>174</v>
      </c>
      <c r="F9" s="7" t="s">
        <v>140</v>
      </c>
      <c r="G9" s="3" t="s">
        <v>141</v>
      </c>
      <c r="H9" s="7" t="s">
        <v>87</v>
      </c>
      <c r="I9" s="7" t="s">
        <v>164</v>
      </c>
      <c r="J9" s="7" t="s">
        <v>165</v>
      </c>
      <c r="K9" s="7" t="s">
        <v>166</v>
      </c>
      <c r="L9" s="3" t="s">
        <v>175</v>
      </c>
      <c r="M9" s="3" t="s">
        <v>176</v>
      </c>
      <c r="N9" s="3" t="s">
        <v>177</v>
      </c>
      <c r="O9" s="3" t="s">
        <v>178</v>
      </c>
      <c r="P9" s="3"/>
      <c r="Q9" s="7"/>
      <c r="R9" s="7"/>
      <c r="S9" s="3"/>
      <c r="T9" s="3" t="s">
        <v>179</v>
      </c>
      <c r="U9" s="7"/>
      <c r="V9" s="3" t="s">
        <v>140</v>
      </c>
      <c r="W9" s="3" t="s">
        <v>180</v>
      </c>
      <c r="X9" s="3" t="s">
        <v>181</v>
      </c>
      <c r="Y9" s="3" t="s">
        <v>182</v>
      </c>
      <c r="Z9" s="8" t="s">
        <v>183</v>
      </c>
    </row>
    <row r="10" customFormat="false" ht="26.85" hidden="false" customHeight="false" outlineLevel="0" collapsed="false">
      <c r="A10" s="7" t="s">
        <v>184</v>
      </c>
      <c r="B10" s="7" t="s">
        <v>185</v>
      </c>
      <c r="C10" s="7"/>
      <c r="D10" s="7" t="n">
        <v>2001</v>
      </c>
      <c r="E10" s="3" t="s">
        <v>186</v>
      </c>
      <c r="F10" s="7" t="s">
        <v>85</v>
      </c>
      <c r="G10" s="3" t="s">
        <v>86</v>
      </c>
      <c r="H10" s="7" t="s">
        <v>87</v>
      </c>
      <c r="I10" s="7" t="s">
        <v>88</v>
      </c>
      <c r="J10" s="7" t="s">
        <v>89</v>
      </c>
      <c r="K10" s="7" t="s">
        <v>90</v>
      </c>
      <c r="L10" s="3" t="s">
        <v>187</v>
      </c>
      <c r="M10" s="3" t="s">
        <v>188</v>
      </c>
      <c r="N10" s="3"/>
      <c r="O10" s="3"/>
      <c r="P10" s="3"/>
      <c r="Q10" s="7"/>
      <c r="R10" s="7"/>
      <c r="S10" s="3"/>
      <c r="T10" s="3" t="s">
        <v>189</v>
      </c>
      <c r="U10" s="7"/>
      <c r="V10" s="3" t="s">
        <v>85</v>
      </c>
      <c r="W10" s="3" t="s">
        <v>190</v>
      </c>
      <c r="X10" s="3" t="s">
        <v>191</v>
      </c>
      <c r="Y10" s="3" t="s">
        <v>192</v>
      </c>
      <c r="Z10" s="8" t="s">
        <v>193</v>
      </c>
    </row>
    <row r="11" customFormat="false" ht="26.85" hidden="false" customHeight="false" outlineLevel="0" collapsed="false">
      <c r="A11" s="7" t="s">
        <v>194</v>
      </c>
      <c r="B11" s="7" t="s">
        <v>195</v>
      </c>
      <c r="C11" s="7"/>
      <c r="D11" s="7" t="n">
        <v>2001</v>
      </c>
      <c r="E11" s="3" t="s">
        <v>196</v>
      </c>
      <c r="F11" s="7" t="s">
        <v>85</v>
      </c>
      <c r="G11" s="3" t="s">
        <v>86</v>
      </c>
      <c r="H11" s="7" t="s">
        <v>100</v>
      </c>
      <c r="I11" s="7" t="s">
        <v>101</v>
      </c>
      <c r="J11" s="7" t="s">
        <v>102</v>
      </c>
      <c r="K11" s="7" t="s">
        <v>103</v>
      </c>
      <c r="L11" s="3" t="s">
        <v>142</v>
      </c>
      <c r="M11" s="3" t="s">
        <v>197</v>
      </c>
      <c r="N11" s="3"/>
      <c r="O11" s="3"/>
      <c r="P11" s="3"/>
      <c r="Q11" s="7"/>
      <c r="R11" s="7"/>
      <c r="S11" s="3"/>
      <c r="T11" s="3" t="s">
        <v>198</v>
      </c>
      <c r="U11" s="7"/>
      <c r="V11" s="3" t="s">
        <v>85</v>
      </c>
      <c r="W11" s="3" t="s">
        <v>199</v>
      </c>
      <c r="X11" s="3" t="s">
        <v>200</v>
      </c>
      <c r="Y11" s="3" t="s">
        <v>201</v>
      </c>
      <c r="Z11" s="8" t="s">
        <v>202</v>
      </c>
    </row>
    <row r="12" customFormat="false" ht="26.85" hidden="false" customHeight="false" outlineLevel="0" collapsed="false">
      <c r="A12" s="7" t="s">
        <v>203</v>
      </c>
      <c r="B12" s="7" t="s">
        <v>204</v>
      </c>
      <c r="C12" s="7"/>
      <c r="D12" s="7" t="n">
        <v>2001</v>
      </c>
      <c r="E12" s="3" t="s">
        <v>205</v>
      </c>
      <c r="F12" s="7" t="s">
        <v>140</v>
      </c>
      <c r="G12" s="3" t="s">
        <v>141</v>
      </c>
      <c r="H12" s="7" t="s">
        <v>100</v>
      </c>
      <c r="I12" s="7" t="s">
        <v>101</v>
      </c>
      <c r="J12" s="7" t="s">
        <v>102</v>
      </c>
      <c r="K12" s="7" t="s">
        <v>103</v>
      </c>
      <c r="L12" s="3" t="s">
        <v>153</v>
      </c>
      <c r="M12" s="3" t="s">
        <v>206</v>
      </c>
      <c r="N12" s="3"/>
      <c r="O12" s="3" t="s">
        <v>207</v>
      </c>
      <c r="P12" s="3"/>
      <c r="Q12" s="7"/>
      <c r="R12" s="7"/>
      <c r="S12" s="3"/>
      <c r="T12" s="3" t="s">
        <v>208</v>
      </c>
      <c r="U12" s="7"/>
      <c r="V12" s="3" t="s">
        <v>140</v>
      </c>
      <c r="W12" s="3" t="s">
        <v>209</v>
      </c>
      <c r="X12" s="3" t="s">
        <v>210</v>
      </c>
      <c r="Y12" s="3" t="s">
        <v>211</v>
      </c>
      <c r="Z12" s="8" t="s">
        <v>212</v>
      </c>
    </row>
    <row r="13" customFormat="false" ht="26.85" hidden="false" customHeight="false" outlineLevel="0" collapsed="false">
      <c r="A13" s="7" t="s">
        <v>213</v>
      </c>
      <c r="B13" s="7" t="s">
        <v>214</v>
      </c>
      <c r="C13" s="7"/>
      <c r="D13" s="7" t="n">
        <v>2001</v>
      </c>
      <c r="E13" s="3" t="s">
        <v>215</v>
      </c>
      <c r="F13" s="7" t="s">
        <v>140</v>
      </c>
      <c r="G13" s="3" t="s">
        <v>141</v>
      </c>
      <c r="H13" s="7" t="s">
        <v>100</v>
      </c>
      <c r="I13" s="7" t="s">
        <v>101</v>
      </c>
      <c r="J13" s="7" t="s">
        <v>102</v>
      </c>
      <c r="K13" s="7" t="s">
        <v>103</v>
      </c>
      <c r="L13" s="3"/>
      <c r="M13" s="3" t="s">
        <v>216</v>
      </c>
      <c r="N13" s="3"/>
      <c r="O13" s="3"/>
      <c r="P13" s="3"/>
      <c r="Q13" s="7"/>
      <c r="R13" s="7"/>
      <c r="S13" s="3"/>
      <c r="T13" s="3" t="s">
        <v>217</v>
      </c>
      <c r="U13" s="7"/>
      <c r="V13" s="3" t="s">
        <v>140</v>
      </c>
      <c r="W13" s="3" t="s">
        <v>218</v>
      </c>
      <c r="X13" s="3" t="s">
        <v>219</v>
      </c>
      <c r="Y13" s="3" t="s">
        <v>220</v>
      </c>
      <c r="Z13" s="8" t="s">
        <v>221</v>
      </c>
    </row>
    <row r="14" customFormat="false" ht="26.85" hidden="false" customHeight="false" outlineLevel="0" collapsed="false">
      <c r="A14" s="7" t="s">
        <v>222</v>
      </c>
      <c r="B14" s="7" t="s">
        <v>223</v>
      </c>
      <c r="C14" s="7"/>
      <c r="D14" s="7" t="n">
        <v>2002</v>
      </c>
      <c r="E14" s="3" t="s">
        <v>224</v>
      </c>
      <c r="F14" s="7" t="s">
        <v>85</v>
      </c>
      <c r="G14" s="3" t="s">
        <v>86</v>
      </c>
      <c r="H14" s="7" t="s">
        <v>87</v>
      </c>
      <c r="I14" s="7" t="s">
        <v>225</v>
      </c>
      <c r="J14" s="7" t="s">
        <v>226</v>
      </c>
      <c r="K14" s="7" t="s">
        <v>227</v>
      </c>
      <c r="L14" s="3"/>
      <c r="M14" s="3" t="s">
        <v>228</v>
      </c>
      <c r="N14" s="3" t="s">
        <v>229</v>
      </c>
      <c r="O14" s="3"/>
      <c r="P14" s="3"/>
      <c r="Q14" s="7"/>
      <c r="R14" s="7"/>
      <c r="S14" s="3"/>
      <c r="T14" s="3" t="s">
        <v>230</v>
      </c>
      <c r="U14" s="7"/>
      <c r="V14" s="3" t="s">
        <v>85</v>
      </c>
      <c r="W14" s="3" t="s">
        <v>231</v>
      </c>
      <c r="X14" s="3" t="s">
        <v>232</v>
      </c>
      <c r="Y14" s="3" t="s">
        <v>233</v>
      </c>
      <c r="Z14" s="8" t="s">
        <v>234</v>
      </c>
    </row>
    <row r="15" customFormat="false" ht="26.85" hidden="false" customHeight="false" outlineLevel="0" collapsed="false">
      <c r="A15" s="7" t="s">
        <v>235</v>
      </c>
      <c r="B15" s="7" t="s">
        <v>223</v>
      </c>
      <c r="C15" s="7"/>
      <c r="D15" s="7" t="n">
        <v>2002</v>
      </c>
      <c r="E15" s="3" t="s">
        <v>236</v>
      </c>
      <c r="F15" s="7" t="s">
        <v>140</v>
      </c>
      <c r="G15" s="3" t="s">
        <v>141</v>
      </c>
      <c r="H15" s="7" t="s">
        <v>87</v>
      </c>
      <c r="I15" s="7" t="s">
        <v>237</v>
      </c>
      <c r="J15" s="7" t="s">
        <v>238</v>
      </c>
      <c r="K15" s="7" t="s">
        <v>90</v>
      </c>
      <c r="L15" s="3" t="s">
        <v>239</v>
      </c>
      <c r="M15" s="3" t="s">
        <v>240</v>
      </c>
      <c r="N15" s="3" t="s">
        <v>241</v>
      </c>
      <c r="O15" s="3" t="s">
        <v>242</v>
      </c>
      <c r="P15" s="3"/>
      <c r="Q15" s="7"/>
      <c r="R15" s="7"/>
      <c r="S15" s="3"/>
      <c r="T15" s="3" t="s">
        <v>243</v>
      </c>
      <c r="U15" s="7"/>
      <c r="V15" s="3" t="s">
        <v>140</v>
      </c>
      <c r="W15" s="3" t="s">
        <v>244</v>
      </c>
      <c r="X15" s="3" t="s">
        <v>245</v>
      </c>
      <c r="Y15" s="3" t="s">
        <v>246</v>
      </c>
      <c r="Z15" s="8" t="s">
        <v>247</v>
      </c>
    </row>
    <row r="16" customFormat="false" ht="26.85" hidden="false" customHeight="false" outlineLevel="0" collapsed="false">
      <c r="A16" s="7" t="s">
        <v>248</v>
      </c>
      <c r="B16" s="7" t="s">
        <v>223</v>
      </c>
      <c r="C16" s="7"/>
      <c r="D16" s="7" t="n">
        <v>2002</v>
      </c>
      <c r="E16" s="3" t="s">
        <v>249</v>
      </c>
      <c r="F16" s="7" t="s">
        <v>85</v>
      </c>
      <c r="G16" s="3" t="s">
        <v>86</v>
      </c>
      <c r="H16" s="7" t="s">
        <v>100</v>
      </c>
      <c r="I16" s="7" t="s">
        <v>101</v>
      </c>
      <c r="J16" s="7" t="s">
        <v>102</v>
      </c>
      <c r="K16" s="7" t="s">
        <v>103</v>
      </c>
      <c r="L16" s="3"/>
      <c r="M16" s="3" t="s">
        <v>250</v>
      </c>
      <c r="N16" s="3"/>
      <c r="O16" s="3" t="s">
        <v>251</v>
      </c>
      <c r="P16" s="3"/>
      <c r="Q16" s="7"/>
      <c r="R16" s="7"/>
      <c r="S16" s="3"/>
      <c r="T16" s="3" t="s">
        <v>252</v>
      </c>
      <c r="U16" s="7"/>
      <c r="V16" s="3" t="s">
        <v>85</v>
      </c>
      <c r="W16" s="3" t="s">
        <v>253</v>
      </c>
      <c r="X16" s="3" t="s">
        <v>254</v>
      </c>
      <c r="Y16" s="3" t="s">
        <v>255</v>
      </c>
      <c r="Z16" s="8" t="s">
        <v>256</v>
      </c>
    </row>
    <row r="17" customFormat="false" ht="26.85" hidden="false" customHeight="false" outlineLevel="0" collapsed="false">
      <c r="A17" s="7" t="s">
        <v>257</v>
      </c>
      <c r="B17" s="7" t="s">
        <v>223</v>
      </c>
      <c r="C17" s="7"/>
      <c r="D17" s="7" t="n">
        <v>2002</v>
      </c>
      <c r="E17" s="3" t="s">
        <v>258</v>
      </c>
      <c r="F17" s="7" t="s">
        <v>140</v>
      </c>
      <c r="G17" s="3" t="s">
        <v>141</v>
      </c>
      <c r="H17" s="7" t="s">
        <v>87</v>
      </c>
      <c r="I17" s="7" t="s">
        <v>259</v>
      </c>
      <c r="J17" s="7" t="s">
        <v>260</v>
      </c>
      <c r="K17" s="7" t="s">
        <v>261</v>
      </c>
      <c r="L17" s="3" t="s">
        <v>262</v>
      </c>
      <c r="M17" s="3" t="s">
        <v>263</v>
      </c>
      <c r="N17" s="3" t="s">
        <v>264</v>
      </c>
      <c r="O17" s="3"/>
      <c r="P17" s="3"/>
      <c r="Q17" s="7"/>
      <c r="R17" s="7"/>
      <c r="S17" s="3"/>
      <c r="T17" s="3" t="s">
        <v>265</v>
      </c>
      <c r="U17" s="7"/>
      <c r="V17" s="3" t="s">
        <v>140</v>
      </c>
      <c r="W17" s="3" t="s">
        <v>266</v>
      </c>
      <c r="X17" s="3" t="s">
        <v>267</v>
      </c>
      <c r="Y17" s="3" t="s">
        <v>268</v>
      </c>
      <c r="Z17" s="8" t="s">
        <v>269</v>
      </c>
    </row>
    <row r="18" customFormat="false" ht="26.85" hidden="false" customHeight="false" outlineLevel="0" collapsed="false">
      <c r="A18" s="7" t="s">
        <v>270</v>
      </c>
      <c r="B18" s="7" t="s">
        <v>223</v>
      </c>
      <c r="C18" s="7"/>
      <c r="D18" s="7" t="n">
        <v>2002</v>
      </c>
      <c r="E18" s="3" t="s">
        <v>271</v>
      </c>
      <c r="F18" s="7" t="s">
        <v>85</v>
      </c>
      <c r="G18" s="3" t="s">
        <v>86</v>
      </c>
      <c r="H18" s="7" t="s">
        <v>87</v>
      </c>
      <c r="I18" s="7" t="s">
        <v>272</v>
      </c>
      <c r="J18" s="7" t="s">
        <v>273</v>
      </c>
      <c r="K18" s="7" t="s">
        <v>274</v>
      </c>
      <c r="L18" s="3" t="s">
        <v>275</v>
      </c>
      <c r="M18" s="3" t="s">
        <v>276</v>
      </c>
      <c r="N18" s="3"/>
      <c r="O18" s="3" t="s">
        <v>277</v>
      </c>
      <c r="P18" s="3" t="s">
        <v>278</v>
      </c>
      <c r="Q18" s="7" t="s">
        <v>279</v>
      </c>
      <c r="R18" s="7"/>
      <c r="S18" s="3" t="s">
        <v>280</v>
      </c>
      <c r="T18" s="3" t="s">
        <v>281</v>
      </c>
      <c r="U18" s="7"/>
      <c r="V18" s="3" t="s">
        <v>282</v>
      </c>
      <c r="W18" s="3" t="s">
        <v>283</v>
      </c>
      <c r="X18" s="3" t="s">
        <v>284</v>
      </c>
      <c r="Y18" s="3" t="s">
        <v>285</v>
      </c>
      <c r="Z18" s="8" t="s">
        <v>286</v>
      </c>
    </row>
    <row r="19" customFormat="false" ht="26.85" hidden="false" customHeight="false" outlineLevel="0" collapsed="false">
      <c r="A19" s="7" t="s">
        <v>287</v>
      </c>
      <c r="B19" s="7" t="s">
        <v>288</v>
      </c>
      <c r="C19" s="7"/>
      <c r="D19" s="7" t="n">
        <v>2002</v>
      </c>
      <c r="E19" s="3" t="s">
        <v>289</v>
      </c>
      <c r="F19" s="7" t="s">
        <v>140</v>
      </c>
      <c r="G19" s="3" t="s">
        <v>141</v>
      </c>
      <c r="H19" s="7" t="s">
        <v>87</v>
      </c>
      <c r="I19" s="7" t="s">
        <v>290</v>
      </c>
      <c r="J19" s="7" t="s">
        <v>291</v>
      </c>
      <c r="K19" s="7" t="s">
        <v>292</v>
      </c>
      <c r="L19" s="3" t="s">
        <v>293</v>
      </c>
      <c r="M19" s="3" t="s">
        <v>294</v>
      </c>
      <c r="N19" s="3"/>
      <c r="O19" s="3"/>
      <c r="P19" s="3"/>
      <c r="Q19" s="7"/>
      <c r="R19" s="7"/>
      <c r="S19" s="3"/>
      <c r="T19" s="3" t="s">
        <v>295</v>
      </c>
      <c r="U19" s="7"/>
      <c r="V19" s="3" t="s">
        <v>296</v>
      </c>
      <c r="W19" s="3" t="s">
        <v>297</v>
      </c>
      <c r="X19" s="3" t="s">
        <v>298</v>
      </c>
      <c r="Y19" s="3" t="s">
        <v>299</v>
      </c>
      <c r="Z19" s="8" t="s">
        <v>300</v>
      </c>
    </row>
    <row r="20" customFormat="false" ht="26.85" hidden="false" customHeight="false" outlineLevel="0" collapsed="false">
      <c r="A20" s="7" t="s">
        <v>301</v>
      </c>
      <c r="B20" s="7" t="s">
        <v>302</v>
      </c>
      <c r="C20" s="7"/>
      <c r="D20" s="7" t="n">
        <v>2002</v>
      </c>
      <c r="E20" s="3" t="s">
        <v>303</v>
      </c>
      <c r="F20" s="7" t="s">
        <v>140</v>
      </c>
      <c r="G20" s="3" t="s">
        <v>141</v>
      </c>
      <c r="H20" s="7" t="s">
        <v>87</v>
      </c>
      <c r="I20" s="7" t="s">
        <v>304</v>
      </c>
      <c r="J20" s="7" t="s">
        <v>305</v>
      </c>
      <c r="K20" s="7" t="s">
        <v>274</v>
      </c>
      <c r="L20" s="3" t="s">
        <v>306</v>
      </c>
      <c r="M20" s="3" t="s">
        <v>307</v>
      </c>
      <c r="N20" s="3"/>
      <c r="O20" s="3" t="s">
        <v>308</v>
      </c>
      <c r="P20" s="3"/>
      <c r="Q20" s="7"/>
      <c r="R20" s="7"/>
      <c r="S20" s="3"/>
      <c r="T20" s="3" t="s">
        <v>309</v>
      </c>
      <c r="U20" s="7"/>
      <c r="V20" s="3" t="s">
        <v>140</v>
      </c>
      <c r="W20" s="3" t="s">
        <v>310</v>
      </c>
      <c r="X20" s="3" t="s">
        <v>311</v>
      </c>
      <c r="Y20" s="3" t="s">
        <v>312</v>
      </c>
      <c r="Z20" s="8" t="s">
        <v>313</v>
      </c>
    </row>
    <row r="21" customFormat="false" ht="26.85" hidden="false" customHeight="false" outlineLevel="0" collapsed="false">
      <c r="A21" s="7" t="s">
        <v>314</v>
      </c>
      <c r="B21" s="7" t="s">
        <v>315</v>
      </c>
      <c r="C21" s="7"/>
      <c r="D21" s="7" t="n">
        <v>2003</v>
      </c>
      <c r="E21" s="3" t="s">
        <v>316</v>
      </c>
      <c r="F21" s="7" t="s">
        <v>123</v>
      </c>
      <c r="G21" s="3" t="s">
        <v>124</v>
      </c>
      <c r="H21" s="7" t="s">
        <v>87</v>
      </c>
      <c r="I21" s="7" t="s">
        <v>317</v>
      </c>
      <c r="J21" s="7" t="s">
        <v>318</v>
      </c>
      <c r="K21" s="7" t="s">
        <v>274</v>
      </c>
      <c r="L21" s="3" t="s">
        <v>319</v>
      </c>
      <c r="M21" s="3" t="s">
        <v>320</v>
      </c>
      <c r="N21" s="3"/>
      <c r="O21" s="3" t="s">
        <v>321</v>
      </c>
      <c r="P21" s="3" t="s">
        <v>322</v>
      </c>
      <c r="Q21" s="7" t="s">
        <v>279</v>
      </c>
      <c r="R21" s="7"/>
      <c r="S21" s="3" t="s">
        <v>323</v>
      </c>
      <c r="T21" s="3" t="s">
        <v>324</v>
      </c>
      <c r="U21" s="7"/>
      <c r="V21" s="3" t="s">
        <v>123</v>
      </c>
      <c r="W21" s="3" t="s">
        <v>325</v>
      </c>
      <c r="X21" s="3" t="s">
        <v>326</v>
      </c>
      <c r="Y21" s="3" t="s">
        <v>327</v>
      </c>
      <c r="Z21" s="8" t="s">
        <v>328</v>
      </c>
    </row>
    <row r="22" customFormat="false" ht="26.85" hidden="false" customHeight="false" outlineLevel="0" collapsed="false">
      <c r="A22" s="7" t="s">
        <v>329</v>
      </c>
      <c r="B22" s="7" t="s">
        <v>315</v>
      </c>
      <c r="C22" s="7"/>
      <c r="D22" s="7" t="n">
        <v>2003</v>
      </c>
      <c r="E22" s="3" t="s">
        <v>330</v>
      </c>
      <c r="F22" s="7" t="s">
        <v>85</v>
      </c>
      <c r="G22" s="3" t="s">
        <v>86</v>
      </c>
      <c r="H22" s="7" t="s">
        <v>87</v>
      </c>
      <c r="I22" s="7" t="s">
        <v>331</v>
      </c>
      <c r="J22" s="7" t="s">
        <v>332</v>
      </c>
      <c r="K22" s="7" t="s">
        <v>333</v>
      </c>
      <c r="L22" s="3"/>
      <c r="M22" s="3" t="s">
        <v>334</v>
      </c>
      <c r="N22" s="3"/>
      <c r="O22" s="3"/>
      <c r="P22" s="3"/>
      <c r="Q22" s="7"/>
      <c r="R22" s="7"/>
      <c r="S22" s="3"/>
      <c r="T22" s="3" t="s">
        <v>335</v>
      </c>
      <c r="U22" s="7"/>
      <c r="V22" s="3" t="s">
        <v>85</v>
      </c>
      <c r="W22" s="3" t="s">
        <v>336</v>
      </c>
      <c r="X22" s="3" t="s">
        <v>337</v>
      </c>
      <c r="Y22" s="3" t="s">
        <v>338</v>
      </c>
      <c r="Z22" s="8" t="s">
        <v>339</v>
      </c>
    </row>
    <row r="23" customFormat="false" ht="26.85" hidden="false" customHeight="false" outlineLevel="0" collapsed="false">
      <c r="A23" s="7" t="s">
        <v>340</v>
      </c>
      <c r="B23" s="7" t="s">
        <v>341</v>
      </c>
      <c r="C23" s="7"/>
      <c r="D23" s="7" t="n">
        <v>2003</v>
      </c>
      <c r="E23" s="3" t="s">
        <v>342</v>
      </c>
      <c r="F23" s="7" t="s">
        <v>140</v>
      </c>
      <c r="G23" s="3" t="s">
        <v>141</v>
      </c>
      <c r="H23" s="7" t="s">
        <v>100</v>
      </c>
      <c r="I23" s="7" t="s">
        <v>101</v>
      </c>
      <c r="J23" s="7" t="s">
        <v>102</v>
      </c>
      <c r="K23" s="7" t="s">
        <v>103</v>
      </c>
      <c r="L23" s="3" t="s">
        <v>343</v>
      </c>
      <c r="M23" s="3" t="s">
        <v>344</v>
      </c>
      <c r="N23" s="3"/>
      <c r="O23" s="3" t="s">
        <v>345</v>
      </c>
      <c r="P23" s="3"/>
      <c r="Q23" s="7"/>
      <c r="R23" s="7"/>
      <c r="S23" s="3"/>
      <c r="T23" s="3" t="s">
        <v>346</v>
      </c>
      <c r="U23" s="7"/>
      <c r="V23" s="3" t="s">
        <v>140</v>
      </c>
      <c r="W23" s="3" t="s">
        <v>347</v>
      </c>
      <c r="X23" s="3" t="s">
        <v>348</v>
      </c>
      <c r="Y23" s="3" t="s">
        <v>349</v>
      </c>
      <c r="Z23" s="8" t="s">
        <v>350</v>
      </c>
    </row>
    <row r="24" customFormat="false" ht="26.85" hidden="false" customHeight="false" outlineLevel="0" collapsed="false">
      <c r="A24" s="7" t="s">
        <v>351</v>
      </c>
      <c r="B24" s="7" t="s">
        <v>341</v>
      </c>
      <c r="C24" s="7"/>
      <c r="D24" s="7" t="n">
        <v>2003</v>
      </c>
      <c r="E24" s="3" t="s">
        <v>352</v>
      </c>
      <c r="F24" s="7" t="s">
        <v>85</v>
      </c>
      <c r="G24" s="3" t="s">
        <v>86</v>
      </c>
      <c r="H24" s="7" t="s">
        <v>100</v>
      </c>
      <c r="I24" s="7" t="s">
        <v>101</v>
      </c>
      <c r="J24" s="7" t="s">
        <v>102</v>
      </c>
      <c r="K24" s="7" t="s">
        <v>103</v>
      </c>
      <c r="L24" s="3" t="s">
        <v>343</v>
      </c>
      <c r="M24" s="3" t="s">
        <v>353</v>
      </c>
      <c r="N24" s="3"/>
      <c r="O24" s="3"/>
      <c r="P24" s="3"/>
      <c r="Q24" s="7"/>
      <c r="R24" s="7"/>
      <c r="S24" s="3"/>
      <c r="T24" s="3" t="s">
        <v>354</v>
      </c>
      <c r="U24" s="7"/>
      <c r="V24" s="3" t="s">
        <v>85</v>
      </c>
      <c r="W24" s="3" t="s">
        <v>355</v>
      </c>
      <c r="X24" s="3" t="s">
        <v>356</v>
      </c>
      <c r="Y24" s="3" t="s">
        <v>357</v>
      </c>
      <c r="Z24" s="8" t="s">
        <v>358</v>
      </c>
    </row>
    <row r="25" customFormat="false" ht="26.85" hidden="false" customHeight="false" outlineLevel="0" collapsed="false">
      <c r="A25" s="7" t="s">
        <v>359</v>
      </c>
      <c r="B25" s="7" t="s">
        <v>341</v>
      </c>
      <c r="C25" s="7"/>
      <c r="D25" s="7" t="n">
        <v>2003</v>
      </c>
      <c r="E25" s="3" t="s">
        <v>360</v>
      </c>
      <c r="F25" s="7" t="s">
        <v>140</v>
      </c>
      <c r="G25" s="3" t="s">
        <v>141</v>
      </c>
      <c r="H25" s="7" t="s">
        <v>100</v>
      </c>
      <c r="I25" s="7" t="s">
        <v>101</v>
      </c>
      <c r="J25" s="7" t="s">
        <v>102</v>
      </c>
      <c r="K25" s="7" t="s">
        <v>103</v>
      </c>
      <c r="L25" s="3" t="s">
        <v>343</v>
      </c>
      <c r="M25" s="3" t="s">
        <v>361</v>
      </c>
      <c r="N25" s="3"/>
      <c r="O25" s="3"/>
      <c r="P25" s="3"/>
      <c r="Q25" s="7"/>
      <c r="R25" s="7"/>
      <c r="S25" s="3"/>
      <c r="T25" s="3" t="s">
        <v>362</v>
      </c>
      <c r="U25" s="7"/>
      <c r="V25" s="3" t="s">
        <v>140</v>
      </c>
      <c r="W25" s="3" t="s">
        <v>363</v>
      </c>
      <c r="X25" s="3" t="s">
        <v>364</v>
      </c>
      <c r="Y25" s="3" t="s">
        <v>349</v>
      </c>
      <c r="Z25" s="8" t="s">
        <v>350</v>
      </c>
    </row>
    <row r="26" customFormat="false" ht="26.85" hidden="false" customHeight="false" outlineLevel="0" collapsed="false">
      <c r="A26" s="7" t="s">
        <v>365</v>
      </c>
      <c r="B26" s="7" t="s">
        <v>366</v>
      </c>
      <c r="C26" s="7"/>
      <c r="D26" s="7" t="n">
        <v>2003</v>
      </c>
      <c r="E26" s="3" t="s">
        <v>367</v>
      </c>
      <c r="F26" s="7" t="s">
        <v>123</v>
      </c>
      <c r="G26" s="3" t="s">
        <v>124</v>
      </c>
      <c r="H26" s="7" t="s">
        <v>87</v>
      </c>
      <c r="I26" s="7" t="s">
        <v>225</v>
      </c>
      <c r="J26" s="7" t="s">
        <v>226</v>
      </c>
      <c r="K26" s="7" t="s">
        <v>227</v>
      </c>
      <c r="L26" s="3" t="s">
        <v>368</v>
      </c>
      <c r="M26" s="3" t="s">
        <v>369</v>
      </c>
      <c r="N26" s="3"/>
      <c r="O26" s="3" t="s">
        <v>370</v>
      </c>
      <c r="P26" s="3" t="s">
        <v>371</v>
      </c>
      <c r="Q26" s="7" t="s">
        <v>372</v>
      </c>
      <c r="R26" s="7" t="n">
        <v>328</v>
      </c>
      <c r="S26" s="3" t="s">
        <v>373</v>
      </c>
      <c r="T26" s="3" t="s">
        <v>374</v>
      </c>
      <c r="U26" s="7"/>
      <c r="V26" s="3" t="s">
        <v>296</v>
      </c>
      <c r="W26" s="3" t="s">
        <v>375</v>
      </c>
      <c r="X26" s="3" t="s">
        <v>376</v>
      </c>
      <c r="Y26" s="3" t="s">
        <v>377</v>
      </c>
      <c r="Z26" s="8" t="s">
        <v>378</v>
      </c>
    </row>
    <row r="27" customFormat="false" ht="26.85" hidden="false" customHeight="false" outlineLevel="0" collapsed="false">
      <c r="A27" s="7" t="s">
        <v>379</v>
      </c>
      <c r="B27" s="7" t="s">
        <v>380</v>
      </c>
      <c r="C27" s="7"/>
      <c r="D27" s="7" t="n">
        <v>2003</v>
      </c>
      <c r="E27" s="3" t="s">
        <v>381</v>
      </c>
      <c r="F27" s="7" t="s">
        <v>140</v>
      </c>
      <c r="G27" s="3" t="s">
        <v>141</v>
      </c>
      <c r="H27" s="7" t="s">
        <v>87</v>
      </c>
      <c r="I27" s="7" t="s">
        <v>382</v>
      </c>
      <c r="J27" s="7" t="s">
        <v>383</v>
      </c>
      <c r="K27" s="7" t="s">
        <v>274</v>
      </c>
      <c r="L27" s="3" t="s">
        <v>384</v>
      </c>
      <c r="M27" s="3" t="s">
        <v>385</v>
      </c>
      <c r="N27" s="3"/>
      <c r="O27" s="3"/>
      <c r="P27" s="3"/>
      <c r="Q27" s="7"/>
      <c r="R27" s="7"/>
      <c r="S27" s="3"/>
      <c r="T27" s="3" t="s">
        <v>386</v>
      </c>
      <c r="U27" s="7"/>
      <c r="V27" s="3" t="s">
        <v>140</v>
      </c>
      <c r="W27" s="3" t="s">
        <v>387</v>
      </c>
      <c r="X27" s="3" t="s">
        <v>388</v>
      </c>
      <c r="Y27" s="3" t="s">
        <v>389</v>
      </c>
      <c r="Z27" s="8" t="s">
        <v>390</v>
      </c>
    </row>
    <row r="28" customFormat="false" ht="26.85" hidden="false" customHeight="false" outlineLevel="0" collapsed="false">
      <c r="A28" s="7" t="s">
        <v>391</v>
      </c>
      <c r="B28" s="7" t="s">
        <v>392</v>
      </c>
      <c r="C28" s="7"/>
      <c r="D28" s="7" t="n">
        <v>2004</v>
      </c>
      <c r="E28" s="3" t="s">
        <v>393</v>
      </c>
      <c r="F28" s="7" t="s">
        <v>123</v>
      </c>
      <c r="G28" s="3" t="s">
        <v>124</v>
      </c>
      <c r="H28" s="7" t="s">
        <v>100</v>
      </c>
      <c r="I28" s="7" t="s">
        <v>101</v>
      </c>
      <c r="J28" s="7" t="s">
        <v>102</v>
      </c>
      <c r="K28" s="7" t="s">
        <v>103</v>
      </c>
      <c r="L28" s="3"/>
      <c r="M28" s="3" t="s">
        <v>394</v>
      </c>
      <c r="N28" s="3"/>
      <c r="O28" s="3" t="s">
        <v>395</v>
      </c>
      <c r="P28" s="3" t="s">
        <v>396</v>
      </c>
      <c r="Q28" s="7" t="s">
        <v>372</v>
      </c>
      <c r="R28" s="7"/>
      <c r="S28" s="3" t="s">
        <v>397</v>
      </c>
      <c r="T28" s="3" t="s">
        <v>398</v>
      </c>
      <c r="U28" s="7"/>
      <c r="V28" s="3" t="s">
        <v>123</v>
      </c>
      <c r="W28" s="3" t="s">
        <v>399</v>
      </c>
      <c r="X28" s="3" t="s">
        <v>400</v>
      </c>
      <c r="Y28" s="3" t="s">
        <v>401</v>
      </c>
      <c r="Z28" s="8" t="s">
        <v>402</v>
      </c>
    </row>
    <row r="29" customFormat="false" ht="26.85" hidden="false" customHeight="false" outlineLevel="0" collapsed="false">
      <c r="A29" s="7" t="s">
        <v>403</v>
      </c>
      <c r="B29" s="7" t="s">
        <v>392</v>
      </c>
      <c r="C29" s="7"/>
      <c r="D29" s="7" t="n">
        <v>2004</v>
      </c>
      <c r="E29" s="3" t="s">
        <v>404</v>
      </c>
      <c r="F29" s="7" t="s">
        <v>85</v>
      </c>
      <c r="G29" s="3" t="s">
        <v>86</v>
      </c>
      <c r="H29" s="7" t="s">
        <v>87</v>
      </c>
      <c r="I29" s="7" t="s">
        <v>382</v>
      </c>
      <c r="J29" s="7" t="s">
        <v>383</v>
      </c>
      <c r="K29" s="7" t="s">
        <v>274</v>
      </c>
      <c r="L29" s="3" t="s">
        <v>384</v>
      </c>
      <c r="M29" s="3" t="s">
        <v>405</v>
      </c>
      <c r="N29" s="3"/>
      <c r="O29" s="3"/>
      <c r="P29" s="3" t="s">
        <v>406</v>
      </c>
      <c r="Q29" s="7" t="s">
        <v>372</v>
      </c>
      <c r="R29" s="7"/>
      <c r="S29" s="3" t="s">
        <v>407</v>
      </c>
      <c r="T29" s="3" t="s">
        <v>408</v>
      </c>
      <c r="U29" s="7"/>
      <c r="V29" s="3" t="s">
        <v>282</v>
      </c>
      <c r="W29" s="3" t="s">
        <v>409</v>
      </c>
      <c r="X29" s="3" t="s">
        <v>410</v>
      </c>
      <c r="Y29" s="3" t="s">
        <v>411</v>
      </c>
      <c r="Z29" s="8" t="s">
        <v>412</v>
      </c>
    </row>
    <row r="30" customFormat="false" ht="26.85" hidden="false" customHeight="false" outlineLevel="0" collapsed="false">
      <c r="A30" s="7" t="s">
        <v>413</v>
      </c>
      <c r="B30" s="7" t="s">
        <v>414</v>
      </c>
      <c r="C30" s="7"/>
      <c r="D30" s="7" t="n">
        <v>2004</v>
      </c>
      <c r="E30" s="3" t="s">
        <v>415</v>
      </c>
      <c r="F30" s="7" t="s">
        <v>123</v>
      </c>
      <c r="G30" s="3" t="s">
        <v>124</v>
      </c>
      <c r="H30" s="7" t="s">
        <v>100</v>
      </c>
      <c r="I30" s="7" t="s">
        <v>101</v>
      </c>
      <c r="J30" s="7" t="s">
        <v>102</v>
      </c>
      <c r="K30" s="7" t="s">
        <v>103</v>
      </c>
      <c r="L30" s="3" t="s">
        <v>343</v>
      </c>
      <c r="M30" s="3" t="s">
        <v>416</v>
      </c>
      <c r="N30" s="3"/>
      <c r="O30" s="3"/>
      <c r="P30" s="3" t="s">
        <v>396</v>
      </c>
      <c r="Q30" s="7" t="s">
        <v>372</v>
      </c>
      <c r="R30" s="7" t="n">
        <v>103</v>
      </c>
      <c r="S30" s="3" t="s">
        <v>397</v>
      </c>
      <c r="T30" s="3" t="s">
        <v>417</v>
      </c>
      <c r="U30" s="7"/>
      <c r="V30" s="3" t="s">
        <v>123</v>
      </c>
      <c r="W30" s="3" t="s">
        <v>418</v>
      </c>
      <c r="X30" s="3" t="s">
        <v>419</v>
      </c>
      <c r="Y30" s="3" t="s">
        <v>420</v>
      </c>
      <c r="Z30" s="8" t="s">
        <v>421</v>
      </c>
    </row>
    <row r="31" customFormat="false" ht="26.85" hidden="false" customHeight="false" outlineLevel="0" collapsed="false">
      <c r="A31" s="7" t="s">
        <v>422</v>
      </c>
      <c r="B31" s="7" t="s">
        <v>423</v>
      </c>
      <c r="C31" s="7"/>
      <c r="D31" s="7" t="n">
        <v>2004</v>
      </c>
      <c r="E31" s="3" t="s">
        <v>424</v>
      </c>
      <c r="F31" s="7" t="s">
        <v>123</v>
      </c>
      <c r="G31" s="3" t="s">
        <v>124</v>
      </c>
      <c r="H31" s="7" t="s">
        <v>100</v>
      </c>
      <c r="I31" s="7" t="s">
        <v>101</v>
      </c>
      <c r="J31" s="7" t="s">
        <v>102</v>
      </c>
      <c r="K31" s="7" t="s">
        <v>103</v>
      </c>
      <c r="L31" s="3" t="s">
        <v>343</v>
      </c>
      <c r="M31" s="3" t="s">
        <v>425</v>
      </c>
      <c r="N31" s="3"/>
      <c r="O31" s="3"/>
      <c r="P31" s="3" t="s">
        <v>396</v>
      </c>
      <c r="Q31" s="7" t="s">
        <v>372</v>
      </c>
      <c r="R31" s="7" t="n">
        <v>77</v>
      </c>
      <c r="S31" s="3" t="s">
        <v>397</v>
      </c>
      <c r="T31" s="3" t="s">
        <v>426</v>
      </c>
      <c r="U31" s="7"/>
      <c r="V31" s="3" t="s">
        <v>296</v>
      </c>
      <c r="W31" s="3" t="s">
        <v>427</v>
      </c>
      <c r="X31" s="3" t="s">
        <v>428</v>
      </c>
      <c r="Y31" s="3" t="s">
        <v>429</v>
      </c>
      <c r="Z31" s="8" t="s">
        <v>430</v>
      </c>
    </row>
    <row r="32" customFormat="false" ht="26.85" hidden="false" customHeight="false" outlineLevel="0" collapsed="false">
      <c r="A32" s="7" t="s">
        <v>431</v>
      </c>
      <c r="B32" s="7" t="s">
        <v>423</v>
      </c>
      <c r="C32" s="7"/>
      <c r="D32" s="7" t="n">
        <v>2004</v>
      </c>
      <c r="E32" s="3" t="s">
        <v>432</v>
      </c>
      <c r="F32" s="7" t="s">
        <v>123</v>
      </c>
      <c r="G32" s="3" t="s">
        <v>124</v>
      </c>
      <c r="H32" s="7" t="s">
        <v>100</v>
      </c>
      <c r="I32" s="7" t="s">
        <v>101</v>
      </c>
      <c r="J32" s="7" t="s">
        <v>102</v>
      </c>
      <c r="K32" s="7" t="s">
        <v>103</v>
      </c>
      <c r="L32" s="3" t="s">
        <v>343</v>
      </c>
      <c r="M32" s="3" t="s">
        <v>433</v>
      </c>
      <c r="N32" s="3"/>
      <c r="O32" s="3"/>
      <c r="P32" s="3" t="s">
        <v>396</v>
      </c>
      <c r="Q32" s="7" t="s">
        <v>372</v>
      </c>
      <c r="R32" s="7" t="n">
        <v>77</v>
      </c>
      <c r="S32" s="3" t="s">
        <v>397</v>
      </c>
      <c r="T32" s="3" t="s">
        <v>434</v>
      </c>
      <c r="U32" s="7"/>
      <c r="V32" s="3" t="s">
        <v>123</v>
      </c>
      <c r="W32" s="3" t="s">
        <v>435</v>
      </c>
      <c r="X32" s="3" t="s">
        <v>436</v>
      </c>
      <c r="Y32" s="3" t="s">
        <v>437</v>
      </c>
      <c r="Z32" s="8" t="s">
        <v>430</v>
      </c>
    </row>
    <row r="33" customFormat="false" ht="26.85" hidden="false" customHeight="false" outlineLevel="0" collapsed="false">
      <c r="A33" s="7" t="s">
        <v>438</v>
      </c>
      <c r="B33" s="7" t="s">
        <v>423</v>
      </c>
      <c r="C33" s="7"/>
      <c r="D33" s="7" t="n">
        <v>2004</v>
      </c>
      <c r="E33" s="3" t="s">
        <v>439</v>
      </c>
      <c r="F33" s="7" t="s">
        <v>123</v>
      </c>
      <c r="G33" s="3" t="s">
        <v>124</v>
      </c>
      <c r="H33" s="7" t="s">
        <v>100</v>
      </c>
      <c r="I33" s="7" t="s">
        <v>101</v>
      </c>
      <c r="J33" s="7" t="s">
        <v>102</v>
      </c>
      <c r="K33" s="7" t="s">
        <v>103</v>
      </c>
      <c r="L33" s="3" t="s">
        <v>343</v>
      </c>
      <c r="M33" s="3" t="s">
        <v>440</v>
      </c>
      <c r="N33" s="3"/>
      <c r="O33" s="3"/>
      <c r="P33" s="3" t="s">
        <v>396</v>
      </c>
      <c r="Q33" s="7" t="s">
        <v>372</v>
      </c>
      <c r="R33" s="7" t="n">
        <v>77</v>
      </c>
      <c r="S33" s="3" t="s">
        <v>397</v>
      </c>
      <c r="T33" s="3" t="s">
        <v>441</v>
      </c>
      <c r="U33" s="7"/>
      <c r="V33" s="3" t="s">
        <v>123</v>
      </c>
      <c r="W33" s="3" t="s">
        <v>442</v>
      </c>
      <c r="X33" s="3" t="s">
        <v>443</v>
      </c>
      <c r="Y33" s="3" t="s">
        <v>437</v>
      </c>
      <c r="Z33" s="8" t="s">
        <v>430</v>
      </c>
    </row>
    <row r="34" customFormat="false" ht="26.85" hidden="false" customHeight="false" outlineLevel="0" collapsed="false">
      <c r="A34" s="7" t="s">
        <v>444</v>
      </c>
      <c r="B34" s="7" t="s">
        <v>423</v>
      </c>
      <c r="C34" s="7"/>
      <c r="D34" s="7" t="n">
        <v>2004</v>
      </c>
      <c r="E34" s="3" t="s">
        <v>445</v>
      </c>
      <c r="F34" s="7" t="s">
        <v>123</v>
      </c>
      <c r="G34" s="3" t="s">
        <v>124</v>
      </c>
      <c r="H34" s="7" t="s">
        <v>100</v>
      </c>
      <c r="I34" s="7" t="s">
        <v>101</v>
      </c>
      <c r="J34" s="7" t="s">
        <v>102</v>
      </c>
      <c r="K34" s="7" t="s">
        <v>103</v>
      </c>
      <c r="L34" s="3" t="s">
        <v>446</v>
      </c>
      <c r="M34" s="3" t="s">
        <v>447</v>
      </c>
      <c r="N34" s="3"/>
      <c r="O34" s="3"/>
      <c r="P34" s="3" t="s">
        <v>396</v>
      </c>
      <c r="Q34" s="7" t="s">
        <v>372</v>
      </c>
      <c r="R34" s="7" t="n">
        <v>77</v>
      </c>
      <c r="S34" s="3" t="s">
        <v>397</v>
      </c>
      <c r="T34" s="3" t="s">
        <v>448</v>
      </c>
      <c r="U34" s="7"/>
      <c r="V34" s="3" t="s">
        <v>123</v>
      </c>
      <c r="W34" s="3" t="s">
        <v>449</v>
      </c>
      <c r="X34" s="3" t="s">
        <v>450</v>
      </c>
      <c r="Y34" s="3" t="s">
        <v>451</v>
      </c>
      <c r="Z34" s="8" t="s">
        <v>452</v>
      </c>
    </row>
    <row r="35" customFormat="false" ht="26.85" hidden="false" customHeight="false" outlineLevel="0" collapsed="false">
      <c r="A35" s="7" t="s">
        <v>453</v>
      </c>
      <c r="B35" s="7" t="s">
        <v>454</v>
      </c>
      <c r="C35" s="7"/>
      <c r="D35" s="7" t="n">
        <v>2004</v>
      </c>
      <c r="E35" s="3" t="s">
        <v>455</v>
      </c>
      <c r="F35" s="7" t="s">
        <v>140</v>
      </c>
      <c r="G35" s="3" t="s">
        <v>141</v>
      </c>
      <c r="H35" s="7" t="s">
        <v>87</v>
      </c>
      <c r="I35" s="7" t="s">
        <v>225</v>
      </c>
      <c r="J35" s="7" t="s">
        <v>226</v>
      </c>
      <c r="K35" s="7" t="s">
        <v>274</v>
      </c>
      <c r="L35" s="3" t="s">
        <v>456</v>
      </c>
      <c r="M35" s="3" t="s">
        <v>457</v>
      </c>
      <c r="N35" s="3"/>
      <c r="O35" s="3" t="s">
        <v>458</v>
      </c>
      <c r="P35" s="3"/>
      <c r="Q35" s="7"/>
      <c r="R35" s="7"/>
      <c r="S35" s="3"/>
      <c r="T35" s="3" t="s">
        <v>459</v>
      </c>
      <c r="U35" s="7"/>
      <c r="V35" s="3" t="s">
        <v>140</v>
      </c>
      <c r="W35" s="3" t="s">
        <v>460</v>
      </c>
      <c r="X35" s="3" t="s">
        <v>461</v>
      </c>
      <c r="Y35" s="3" t="s">
        <v>462</v>
      </c>
      <c r="Z35" s="8" t="s">
        <v>463</v>
      </c>
    </row>
    <row r="36" customFormat="false" ht="26.85" hidden="false" customHeight="false" outlineLevel="0" collapsed="false">
      <c r="A36" s="7" t="s">
        <v>464</v>
      </c>
      <c r="B36" s="7" t="s">
        <v>454</v>
      </c>
      <c r="C36" s="7"/>
      <c r="D36" s="7" t="n">
        <v>2004</v>
      </c>
      <c r="E36" s="3" t="s">
        <v>465</v>
      </c>
      <c r="F36" s="7" t="s">
        <v>140</v>
      </c>
      <c r="G36" s="3" t="s">
        <v>141</v>
      </c>
      <c r="H36" s="7" t="s">
        <v>87</v>
      </c>
      <c r="I36" s="7" t="s">
        <v>331</v>
      </c>
      <c r="J36" s="7" t="s">
        <v>332</v>
      </c>
      <c r="K36" s="7" t="s">
        <v>333</v>
      </c>
      <c r="L36" s="3" t="s">
        <v>466</v>
      </c>
      <c r="M36" s="3" t="s">
        <v>467</v>
      </c>
      <c r="N36" s="3" t="s">
        <v>468</v>
      </c>
      <c r="O36" s="3" t="s">
        <v>469</v>
      </c>
      <c r="P36" s="3"/>
      <c r="Q36" s="7"/>
      <c r="R36" s="7"/>
      <c r="S36" s="3"/>
      <c r="T36" s="3" t="s">
        <v>470</v>
      </c>
      <c r="U36" s="7"/>
      <c r="V36" s="3" t="s">
        <v>140</v>
      </c>
      <c r="W36" s="3" t="s">
        <v>471</v>
      </c>
      <c r="X36" s="3" t="s">
        <v>472</v>
      </c>
      <c r="Y36" s="3" t="s">
        <v>473</v>
      </c>
      <c r="Z36" s="8" t="s">
        <v>474</v>
      </c>
    </row>
    <row r="37" customFormat="false" ht="26.85" hidden="false" customHeight="false" outlineLevel="0" collapsed="false">
      <c r="A37" s="7" t="s">
        <v>475</v>
      </c>
      <c r="B37" s="7" t="s">
        <v>476</v>
      </c>
      <c r="C37" s="7"/>
      <c r="D37" s="7" t="n">
        <v>2004</v>
      </c>
      <c r="E37" s="3" t="s">
        <v>477</v>
      </c>
      <c r="F37" s="7" t="s">
        <v>85</v>
      </c>
      <c r="G37" s="3" t="s">
        <v>86</v>
      </c>
      <c r="H37" s="7" t="s">
        <v>87</v>
      </c>
      <c r="I37" s="7" t="s">
        <v>478</v>
      </c>
      <c r="J37" s="7" t="s">
        <v>479</v>
      </c>
      <c r="K37" s="7" t="s">
        <v>480</v>
      </c>
      <c r="L37" s="3"/>
      <c r="M37" s="3" t="s">
        <v>481</v>
      </c>
      <c r="N37" s="3" t="s">
        <v>482</v>
      </c>
      <c r="O37" s="3"/>
      <c r="P37" s="3"/>
      <c r="Q37" s="7"/>
      <c r="R37" s="7"/>
      <c r="S37" s="3"/>
      <c r="T37" s="3" t="s">
        <v>483</v>
      </c>
      <c r="U37" s="7"/>
      <c r="V37" s="3" t="s">
        <v>85</v>
      </c>
      <c r="W37" s="3" t="s">
        <v>484</v>
      </c>
      <c r="X37" s="3" t="s">
        <v>485</v>
      </c>
      <c r="Y37" s="3" t="s">
        <v>486</v>
      </c>
      <c r="Z37" s="8" t="s">
        <v>487</v>
      </c>
    </row>
    <row r="38" customFormat="false" ht="26.85" hidden="false" customHeight="false" outlineLevel="0" collapsed="false">
      <c r="A38" s="7" t="s">
        <v>488</v>
      </c>
      <c r="B38" s="7" t="s">
        <v>476</v>
      </c>
      <c r="C38" s="7"/>
      <c r="D38" s="7" t="n">
        <v>2004</v>
      </c>
      <c r="E38" s="3" t="s">
        <v>489</v>
      </c>
      <c r="F38" s="7" t="s">
        <v>140</v>
      </c>
      <c r="G38" s="3" t="s">
        <v>141</v>
      </c>
      <c r="H38" s="7" t="s">
        <v>100</v>
      </c>
      <c r="I38" s="7" t="s">
        <v>101</v>
      </c>
      <c r="J38" s="7" t="s">
        <v>102</v>
      </c>
      <c r="K38" s="7" t="s">
        <v>490</v>
      </c>
      <c r="L38" s="3" t="s">
        <v>491</v>
      </c>
      <c r="M38" s="3" t="s">
        <v>492</v>
      </c>
      <c r="N38" s="3"/>
      <c r="O38" s="3" t="s">
        <v>493</v>
      </c>
      <c r="P38" s="3"/>
      <c r="Q38" s="7"/>
      <c r="R38" s="7"/>
      <c r="S38" s="3"/>
      <c r="T38" s="3" t="s">
        <v>494</v>
      </c>
      <c r="U38" s="7"/>
      <c r="V38" s="3" t="s">
        <v>140</v>
      </c>
      <c r="W38" s="3" t="s">
        <v>495</v>
      </c>
      <c r="X38" s="3" t="s">
        <v>496</v>
      </c>
      <c r="Y38" s="3" t="s">
        <v>497</v>
      </c>
      <c r="Z38" s="8" t="s">
        <v>498</v>
      </c>
    </row>
    <row r="39" customFormat="false" ht="26.85" hidden="false" customHeight="false" outlineLevel="0" collapsed="false">
      <c r="A39" s="7" t="s">
        <v>499</v>
      </c>
      <c r="B39" s="7" t="s">
        <v>500</v>
      </c>
      <c r="C39" s="7"/>
      <c r="D39" s="7" t="n">
        <v>2004</v>
      </c>
      <c r="E39" s="3" t="s">
        <v>501</v>
      </c>
      <c r="F39" s="7" t="s">
        <v>123</v>
      </c>
      <c r="G39" s="3" t="s">
        <v>124</v>
      </c>
      <c r="H39" s="7" t="s">
        <v>87</v>
      </c>
      <c r="I39" s="7" t="s">
        <v>502</v>
      </c>
      <c r="J39" s="7" t="s">
        <v>503</v>
      </c>
      <c r="K39" s="7" t="s">
        <v>274</v>
      </c>
      <c r="L39" s="3" t="s">
        <v>504</v>
      </c>
      <c r="M39" s="3" t="s">
        <v>505</v>
      </c>
      <c r="N39" s="3" t="s">
        <v>506</v>
      </c>
      <c r="O39" s="3" t="s">
        <v>507</v>
      </c>
      <c r="P39" s="3" t="s">
        <v>508</v>
      </c>
      <c r="Q39" s="7" t="s">
        <v>509</v>
      </c>
      <c r="R39" s="7" t="n">
        <v>70</v>
      </c>
      <c r="S39" s="3" t="s">
        <v>510</v>
      </c>
      <c r="T39" s="3" t="s">
        <v>511</v>
      </c>
      <c r="U39" s="7"/>
      <c r="V39" s="3" t="s">
        <v>296</v>
      </c>
      <c r="W39" s="3" t="s">
        <v>512</v>
      </c>
      <c r="X39" s="3" t="s">
        <v>513</v>
      </c>
      <c r="Y39" s="3" t="s">
        <v>514</v>
      </c>
      <c r="Z39" s="8" t="s">
        <v>515</v>
      </c>
    </row>
    <row r="40" customFormat="false" ht="26.85" hidden="false" customHeight="false" outlineLevel="0" collapsed="false">
      <c r="A40" s="7" t="s">
        <v>516</v>
      </c>
      <c r="B40" s="7" t="s">
        <v>517</v>
      </c>
      <c r="C40" s="7"/>
      <c r="D40" s="7" t="n">
        <v>2004</v>
      </c>
      <c r="E40" s="3" t="s">
        <v>518</v>
      </c>
      <c r="F40" s="7" t="s">
        <v>123</v>
      </c>
      <c r="G40" s="3" t="s">
        <v>124</v>
      </c>
      <c r="H40" s="7" t="s">
        <v>87</v>
      </c>
      <c r="I40" s="7" t="s">
        <v>290</v>
      </c>
      <c r="J40" s="7" t="s">
        <v>291</v>
      </c>
      <c r="K40" s="7" t="s">
        <v>292</v>
      </c>
      <c r="L40" s="3" t="s">
        <v>293</v>
      </c>
      <c r="M40" s="3" t="s">
        <v>519</v>
      </c>
      <c r="N40" s="3"/>
      <c r="O40" s="3"/>
      <c r="P40" s="3" t="s">
        <v>520</v>
      </c>
      <c r="Q40" s="7" t="s">
        <v>521</v>
      </c>
      <c r="R40" s="7" t="n">
        <v>94</v>
      </c>
      <c r="S40" s="3" t="s">
        <v>522</v>
      </c>
      <c r="T40" s="3" t="s">
        <v>523</v>
      </c>
      <c r="U40" s="7"/>
      <c r="V40" s="3" t="s">
        <v>296</v>
      </c>
      <c r="W40" s="3" t="s">
        <v>524</v>
      </c>
      <c r="X40" s="3" t="s">
        <v>525</v>
      </c>
      <c r="Y40" s="3" t="s">
        <v>526</v>
      </c>
      <c r="Z40" s="8" t="s">
        <v>527</v>
      </c>
    </row>
    <row r="41" customFormat="false" ht="39.55" hidden="false" customHeight="false" outlineLevel="0" collapsed="false">
      <c r="A41" s="7" t="s">
        <v>528</v>
      </c>
      <c r="B41" s="7" t="s">
        <v>529</v>
      </c>
      <c r="C41" s="7"/>
      <c r="D41" s="7" t="n">
        <v>2004</v>
      </c>
      <c r="E41" s="3" t="s">
        <v>530</v>
      </c>
      <c r="F41" s="7" t="s">
        <v>85</v>
      </c>
      <c r="G41" s="3" t="s">
        <v>86</v>
      </c>
      <c r="H41" s="7" t="s">
        <v>100</v>
      </c>
      <c r="I41" s="7" t="s">
        <v>101</v>
      </c>
      <c r="J41" s="7" t="s">
        <v>102</v>
      </c>
      <c r="K41" s="7" t="s">
        <v>490</v>
      </c>
      <c r="L41" s="3" t="s">
        <v>531</v>
      </c>
      <c r="M41" s="3" t="s">
        <v>532</v>
      </c>
      <c r="N41" s="3"/>
      <c r="O41" s="3"/>
      <c r="P41" s="3"/>
      <c r="Q41" s="7"/>
      <c r="R41" s="7"/>
      <c r="S41" s="3"/>
      <c r="T41" s="3" t="s">
        <v>533</v>
      </c>
      <c r="U41" s="7"/>
      <c r="V41" s="3" t="s">
        <v>85</v>
      </c>
      <c r="W41" s="3" t="s">
        <v>534</v>
      </c>
      <c r="X41" s="3" t="s">
        <v>535</v>
      </c>
      <c r="Y41" s="3" t="s">
        <v>536</v>
      </c>
      <c r="Z41" s="8" t="s">
        <v>537</v>
      </c>
    </row>
    <row r="42" customFormat="false" ht="26.85" hidden="false" customHeight="false" outlineLevel="0" collapsed="false">
      <c r="A42" s="7" t="s">
        <v>538</v>
      </c>
      <c r="B42" s="7" t="s">
        <v>539</v>
      </c>
      <c r="C42" s="7"/>
      <c r="D42" s="7" t="n">
        <v>2005</v>
      </c>
      <c r="E42" s="3" t="s">
        <v>540</v>
      </c>
      <c r="F42" s="7" t="s">
        <v>85</v>
      </c>
      <c r="G42" s="3" t="s">
        <v>86</v>
      </c>
      <c r="H42" s="7" t="s">
        <v>100</v>
      </c>
      <c r="I42" s="7" t="s">
        <v>101</v>
      </c>
      <c r="J42" s="7" t="s">
        <v>102</v>
      </c>
      <c r="K42" s="7" t="s">
        <v>490</v>
      </c>
      <c r="L42" s="3"/>
      <c r="M42" s="3" t="s">
        <v>541</v>
      </c>
      <c r="N42" s="3"/>
      <c r="O42" s="3"/>
      <c r="P42" s="3"/>
      <c r="Q42" s="7"/>
      <c r="R42" s="7"/>
      <c r="S42" s="3"/>
      <c r="T42" s="3" t="s">
        <v>542</v>
      </c>
      <c r="U42" s="7"/>
      <c r="V42" s="3" t="s">
        <v>85</v>
      </c>
      <c r="W42" s="3" t="s">
        <v>543</v>
      </c>
      <c r="X42" s="3" t="s">
        <v>544</v>
      </c>
      <c r="Y42" s="3" t="s">
        <v>545</v>
      </c>
      <c r="Z42" s="8" t="s">
        <v>119</v>
      </c>
    </row>
    <row r="43" customFormat="false" ht="26.85" hidden="false" customHeight="false" outlineLevel="0" collapsed="false">
      <c r="A43" s="7" t="s">
        <v>546</v>
      </c>
      <c r="B43" s="7" t="s">
        <v>539</v>
      </c>
      <c r="C43" s="7"/>
      <c r="D43" s="7" t="n">
        <v>2005</v>
      </c>
      <c r="E43" s="3" t="s">
        <v>547</v>
      </c>
      <c r="F43" s="7" t="s">
        <v>140</v>
      </c>
      <c r="G43" s="3" t="s">
        <v>141</v>
      </c>
      <c r="H43" s="7" t="s">
        <v>87</v>
      </c>
      <c r="I43" s="7" t="s">
        <v>304</v>
      </c>
      <c r="J43" s="7" t="s">
        <v>305</v>
      </c>
      <c r="K43" s="7" t="s">
        <v>274</v>
      </c>
      <c r="L43" s="3"/>
      <c r="M43" s="3" t="s">
        <v>548</v>
      </c>
      <c r="N43" s="3" t="s">
        <v>549</v>
      </c>
      <c r="O43" s="3"/>
      <c r="P43" s="3"/>
      <c r="Q43" s="7"/>
      <c r="R43" s="7"/>
      <c r="S43" s="3"/>
      <c r="T43" s="3" t="s">
        <v>550</v>
      </c>
      <c r="U43" s="7"/>
      <c r="V43" s="3" t="s">
        <v>140</v>
      </c>
      <c r="W43" s="3" t="s">
        <v>551</v>
      </c>
      <c r="X43" s="3" t="s">
        <v>552</v>
      </c>
      <c r="Y43" s="3" t="s">
        <v>553</v>
      </c>
      <c r="Z43" s="8" t="s">
        <v>554</v>
      </c>
    </row>
    <row r="44" customFormat="false" ht="26.85" hidden="false" customHeight="false" outlineLevel="0" collapsed="false">
      <c r="A44" s="7" t="s">
        <v>555</v>
      </c>
      <c r="B44" s="7" t="s">
        <v>556</v>
      </c>
      <c r="C44" s="7"/>
      <c r="D44" s="7" t="n">
        <v>2005</v>
      </c>
      <c r="E44" s="3" t="s">
        <v>557</v>
      </c>
      <c r="F44" s="7" t="s">
        <v>85</v>
      </c>
      <c r="G44" s="3" t="s">
        <v>86</v>
      </c>
      <c r="H44" s="7" t="s">
        <v>87</v>
      </c>
      <c r="I44" s="7" t="s">
        <v>331</v>
      </c>
      <c r="J44" s="7" t="s">
        <v>332</v>
      </c>
      <c r="K44" s="7" t="s">
        <v>333</v>
      </c>
      <c r="L44" s="3" t="s">
        <v>466</v>
      </c>
      <c r="M44" s="3" t="s">
        <v>558</v>
      </c>
      <c r="N44" s="3"/>
      <c r="O44" s="3"/>
      <c r="P44" s="3"/>
      <c r="Q44" s="7"/>
      <c r="R44" s="7"/>
      <c r="S44" s="3"/>
      <c r="T44" s="3" t="s">
        <v>559</v>
      </c>
      <c r="U44" s="7"/>
      <c r="V44" s="3" t="s">
        <v>85</v>
      </c>
      <c r="W44" s="3" t="s">
        <v>560</v>
      </c>
      <c r="X44" s="3" t="s">
        <v>561</v>
      </c>
      <c r="Y44" s="3" t="s">
        <v>562</v>
      </c>
      <c r="Z44" s="8" t="s">
        <v>563</v>
      </c>
    </row>
    <row r="45" customFormat="false" ht="26.85" hidden="false" customHeight="false" outlineLevel="0" collapsed="false">
      <c r="A45" s="7" t="s">
        <v>564</v>
      </c>
      <c r="B45" s="7" t="s">
        <v>521</v>
      </c>
      <c r="C45" s="7"/>
      <c r="D45" s="7" t="n">
        <v>2005</v>
      </c>
      <c r="E45" s="3" t="s">
        <v>565</v>
      </c>
      <c r="F45" s="7" t="s">
        <v>85</v>
      </c>
      <c r="G45" s="3" t="s">
        <v>86</v>
      </c>
      <c r="H45" s="7" t="s">
        <v>100</v>
      </c>
      <c r="I45" s="7" t="s">
        <v>101</v>
      </c>
      <c r="J45" s="7" t="s">
        <v>102</v>
      </c>
      <c r="K45" s="7" t="s">
        <v>490</v>
      </c>
      <c r="L45" s="3" t="s">
        <v>491</v>
      </c>
      <c r="M45" s="3" t="s">
        <v>566</v>
      </c>
      <c r="N45" s="3"/>
      <c r="O45" s="3" t="s">
        <v>567</v>
      </c>
      <c r="P45" s="3"/>
      <c r="Q45" s="7"/>
      <c r="R45" s="7"/>
      <c r="S45" s="3"/>
      <c r="T45" s="3" t="s">
        <v>568</v>
      </c>
      <c r="U45" s="7"/>
      <c r="V45" s="3" t="s">
        <v>85</v>
      </c>
      <c r="W45" s="3" t="s">
        <v>569</v>
      </c>
      <c r="X45" s="3" t="s">
        <v>570</v>
      </c>
      <c r="Y45" s="3" t="s">
        <v>571</v>
      </c>
      <c r="Z45" s="8" t="s">
        <v>572</v>
      </c>
    </row>
    <row r="46" customFormat="false" ht="26.85" hidden="false" customHeight="false" outlineLevel="0" collapsed="false">
      <c r="A46" s="7" t="s">
        <v>573</v>
      </c>
      <c r="B46" s="7" t="s">
        <v>574</v>
      </c>
      <c r="C46" s="7"/>
      <c r="D46" s="7" t="n">
        <v>2005</v>
      </c>
      <c r="E46" s="3" t="s">
        <v>575</v>
      </c>
      <c r="F46" s="7" t="s">
        <v>140</v>
      </c>
      <c r="G46" s="3" t="s">
        <v>141</v>
      </c>
      <c r="H46" s="7" t="s">
        <v>100</v>
      </c>
      <c r="I46" s="7" t="s">
        <v>101</v>
      </c>
      <c r="J46" s="7" t="s">
        <v>102</v>
      </c>
      <c r="K46" s="7" t="s">
        <v>490</v>
      </c>
      <c r="L46" s="3" t="s">
        <v>531</v>
      </c>
      <c r="M46" s="3" t="s">
        <v>576</v>
      </c>
      <c r="N46" s="3"/>
      <c r="O46" s="3"/>
      <c r="P46" s="3"/>
      <c r="Q46" s="7"/>
      <c r="R46" s="7"/>
      <c r="S46" s="3"/>
      <c r="T46" s="3" t="s">
        <v>577</v>
      </c>
      <c r="U46" s="7"/>
      <c r="V46" s="3" t="s">
        <v>140</v>
      </c>
      <c r="W46" s="3" t="s">
        <v>578</v>
      </c>
      <c r="X46" s="3" t="s">
        <v>579</v>
      </c>
      <c r="Y46" s="3" t="s">
        <v>580</v>
      </c>
      <c r="Z46" s="8" t="s">
        <v>581</v>
      </c>
    </row>
    <row r="47" customFormat="false" ht="26.85" hidden="false" customHeight="false" outlineLevel="0" collapsed="false">
      <c r="A47" s="7" t="s">
        <v>582</v>
      </c>
      <c r="B47" s="7" t="s">
        <v>583</v>
      </c>
      <c r="C47" s="7"/>
      <c r="D47" s="7" t="n">
        <v>2005</v>
      </c>
      <c r="E47" s="3" t="s">
        <v>584</v>
      </c>
      <c r="F47" s="7" t="s">
        <v>85</v>
      </c>
      <c r="G47" s="3" t="s">
        <v>86</v>
      </c>
      <c r="H47" s="7" t="s">
        <v>87</v>
      </c>
      <c r="I47" s="7" t="s">
        <v>502</v>
      </c>
      <c r="J47" s="7" t="s">
        <v>503</v>
      </c>
      <c r="K47" s="7" t="s">
        <v>274</v>
      </c>
      <c r="L47" s="3" t="s">
        <v>585</v>
      </c>
      <c r="M47" s="3" t="s">
        <v>586</v>
      </c>
      <c r="N47" s="3" t="s">
        <v>587</v>
      </c>
      <c r="O47" s="3"/>
      <c r="P47" s="3"/>
      <c r="Q47" s="7"/>
      <c r="R47" s="7"/>
      <c r="S47" s="3"/>
      <c r="T47" s="3" t="s">
        <v>588</v>
      </c>
      <c r="U47" s="7"/>
      <c r="V47" s="3" t="s">
        <v>85</v>
      </c>
      <c r="W47" s="3" t="s">
        <v>589</v>
      </c>
      <c r="X47" s="3" t="s">
        <v>590</v>
      </c>
      <c r="Y47" s="3" t="s">
        <v>591</v>
      </c>
      <c r="Z47" s="8" t="s">
        <v>592</v>
      </c>
    </row>
    <row r="48" customFormat="false" ht="26.85" hidden="false" customHeight="false" outlineLevel="0" collapsed="false">
      <c r="A48" s="7" t="s">
        <v>593</v>
      </c>
      <c r="B48" s="7" t="s">
        <v>594</v>
      </c>
      <c r="C48" s="7"/>
      <c r="D48" s="7" t="n">
        <v>2005</v>
      </c>
      <c r="E48" s="3" t="s">
        <v>595</v>
      </c>
      <c r="F48" s="7" t="s">
        <v>123</v>
      </c>
      <c r="G48" s="3" t="s">
        <v>124</v>
      </c>
      <c r="H48" s="7" t="s">
        <v>87</v>
      </c>
      <c r="I48" s="7" t="s">
        <v>304</v>
      </c>
      <c r="J48" s="7" t="s">
        <v>305</v>
      </c>
      <c r="K48" s="7" t="s">
        <v>274</v>
      </c>
      <c r="L48" s="3" t="s">
        <v>306</v>
      </c>
      <c r="M48" s="3" t="s">
        <v>596</v>
      </c>
      <c r="N48" s="3"/>
      <c r="O48" s="3"/>
      <c r="P48" s="3" t="s">
        <v>597</v>
      </c>
      <c r="Q48" s="7" t="s">
        <v>598</v>
      </c>
      <c r="R48" s="7"/>
      <c r="S48" s="3" t="s">
        <v>599</v>
      </c>
      <c r="T48" s="3" t="s">
        <v>600</v>
      </c>
      <c r="U48" s="7"/>
      <c r="V48" s="3" t="s">
        <v>296</v>
      </c>
      <c r="W48" s="3" t="s">
        <v>601</v>
      </c>
      <c r="X48" s="3" t="s">
        <v>602</v>
      </c>
      <c r="Y48" s="3" t="s">
        <v>603</v>
      </c>
      <c r="Z48" s="8" t="s">
        <v>604</v>
      </c>
    </row>
    <row r="49" customFormat="false" ht="26.85" hidden="false" customHeight="false" outlineLevel="0" collapsed="false">
      <c r="A49" s="7" t="s">
        <v>605</v>
      </c>
      <c r="B49" s="7" t="s">
        <v>606</v>
      </c>
      <c r="C49" s="7"/>
      <c r="D49" s="7" t="n">
        <v>2005</v>
      </c>
      <c r="E49" s="3" t="s">
        <v>607</v>
      </c>
      <c r="F49" s="7" t="s">
        <v>140</v>
      </c>
      <c r="G49" s="3" t="s">
        <v>141</v>
      </c>
      <c r="H49" s="7" t="s">
        <v>87</v>
      </c>
      <c r="I49" s="7" t="s">
        <v>88</v>
      </c>
      <c r="J49" s="7" t="s">
        <v>89</v>
      </c>
      <c r="K49" s="7" t="s">
        <v>90</v>
      </c>
      <c r="L49" s="3"/>
      <c r="M49" s="3" t="s">
        <v>608</v>
      </c>
      <c r="N49" s="3" t="s">
        <v>609</v>
      </c>
      <c r="O49" s="3"/>
      <c r="P49" s="3"/>
      <c r="Q49" s="7"/>
      <c r="R49" s="7"/>
      <c r="S49" s="3"/>
      <c r="T49" s="3" t="s">
        <v>610</v>
      </c>
      <c r="U49" s="7"/>
      <c r="V49" s="3" t="s">
        <v>140</v>
      </c>
      <c r="W49" s="3" t="s">
        <v>611</v>
      </c>
      <c r="X49" s="3" t="s">
        <v>612</v>
      </c>
      <c r="Y49" s="3" t="s">
        <v>613</v>
      </c>
      <c r="Z49" s="8" t="s">
        <v>614</v>
      </c>
    </row>
    <row r="50" customFormat="false" ht="26.85" hidden="false" customHeight="false" outlineLevel="0" collapsed="false">
      <c r="A50" s="7" t="s">
        <v>615</v>
      </c>
      <c r="B50" s="7" t="s">
        <v>606</v>
      </c>
      <c r="C50" s="7"/>
      <c r="D50" s="7" t="n">
        <v>2005</v>
      </c>
      <c r="E50" s="3" t="s">
        <v>616</v>
      </c>
      <c r="F50" s="7" t="s">
        <v>85</v>
      </c>
      <c r="G50" s="3" t="s">
        <v>86</v>
      </c>
      <c r="H50" s="7" t="s">
        <v>100</v>
      </c>
      <c r="I50" s="7" t="s">
        <v>101</v>
      </c>
      <c r="J50" s="7" t="s">
        <v>102</v>
      </c>
      <c r="K50" s="7" t="s">
        <v>490</v>
      </c>
      <c r="L50" s="3"/>
      <c r="M50" s="3" t="s">
        <v>617</v>
      </c>
      <c r="N50" s="3"/>
      <c r="O50" s="3"/>
      <c r="P50" s="3"/>
      <c r="Q50" s="7"/>
      <c r="R50" s="7"/>
      <c r="S50" s="3"/>
      <c r="T50" s="3" t="s">
        <v>618</v>
      </c>
      <c r="U50" s="7"/>
      <c r="V50" s="3" t="s">
        <v>85</v>
      </c>
      <c r="W50" s="3" t="s">
        <v>619</v>
      </c>
      <c r="X50" s="3" t="s">
        <v>620</v>
      </c>
      <c r="Y50" s="3" t="s">
        <v>621</v>
      </c>
      <c r="Z50" s="8" t="s">
        <v>622</v>
      </c>
    </row>
    <row r="51" customFormat="false" ht="26.85" hidden="false" customHeight="false" outlineLevel="0" collapsed="false">
      <c r="A51" s="7" t="s">
        <v>623</v>
      </c>
      <c r="B51" s="7" t="s">
        <v>606</v>
      </c>
      <c r="C51" s="7"/>
      <c r="D51" s="7" t="n">
        <v>2005</v>
      </c>
      <c r="E51" s="3" t="s">
        <v>624</v>
      </c>
      <c r="F51" s="7" t="s">
        <v>85</v>
      </c>
      <c r="G51" s="3" t="s">
        <v>86</v>
      </c>
      <c r="H51" s="7" t="s">
        <v>87</v>
      </c>
      <c r="I51" s="7" t="s">
        <v>331</v>
      </c>
      <c r="J51" s="7" t="s">
        <v>332</v>
      </c>
      <c r="K51" s="7" t="s">
        <v>333</v>
      </c>
      <c r="L51" s="3"/>
      <c r="M51" s="3" t="s">
        <v>625</v>
      </c>
      <c r="N51" s="3"/>
      <c r="O51" s="3"/>
      <c r="P51" s="3"/>
      <c r="Q51" s="7"/>
      <c r="R51" s="7"/>
      <c r="S51" s="3"/>
      <c r="T51" s="3" t="s">
        <v>626</v>
      </c>
      <c r="U51" s="7"/>
      <c r="V51" s="3" t="s">
        <v>85</v>
      </c>
      <c r="W51" s="3" t="s">
        <v>627</v>
      </c>
      <c r="X51" s="3" t="s">
        <v>628</v>
      </c>
      <c r="Y51" s="3" t="s">
        <v>629</v>
      </c>
      <c r="Z51" s="8" t="s">
        <v>630</v>
      </c>
    </row>
    <row r="52" customFormat="false" ht="26.85" hidden="false" customHeight="false" outlineLevel="0" collapsed="false">
      <c r="A52" s="7" t="s">
        <v>631</v>
      </c>
      <c r="B52" s="7" t="s">
        <v>632</v>
      </c>
      <c r="C52" s="7"/>
      <c r="D52" s="7" t="n">
        <v>2006</v>
      </c>
      <c r="E52" s="3" t="s">
        <v>633</v>
      </c>
      <c r="F52" s="7" t="s">
        <v>140</v>
      </c>
      <c r="G52" s="3" t="s">
        <v>141</v>
      </c>
      <c r="H52" s="7" t="s">
        <v>87</v>
      </c>
      <c r="I52" s="7" t="s">
        <v>478</v>
      </c>
      <c r="J52" s="7" t="s">
        <v>479</v>
      </c>
      <c r="K52" s="7" t="s">
        <v>634</v>
      </c>
      <c r="L52" s="3" t="s">
        <v>635</v>
      </c>
      <c r="M52" s="3" t="s">
        <v>636</v>
      </c>
      <c r="N52" s="3" t="s">
        <v>637</v>
      </c>
      <c r="O52" s="3"/>
      <c r="P52" s="3"/>
      <c r="Q52" s="7"/>
      <c r="R52" s="7"/>
      <c r="S52" s="3"/>
      <c r="T52" s="3" t="s">
        <v>638</v>
      </c>
      <c r="U52" s="7"/>
      <c r="V52" s="3" t="s">
        <v>140</v>
      </c>
      <c r="W52" s="3" t="s">
        <v>639</v>
      </c>
      <c r="X52" s="3" t="s">
        <v>640</v>
      </c>
      <c r="Y52" s="3" t="s">
        <v>641</v>
      </c>
      <c r="Z52" s="8" t="s">
        <v>642</v>
      </c>
    </row>
    <row r="53" customFormat="false" ht="26.85" hidden="false" customHeight="false" outlineLevel="0" collapsed="false">
      <c r="A53" s="7" t="s">
        <v>643</v>
      </c>
      <c r="B53" s="7" t="s">
        <v>632</v>
      </c>
      <c r="C53" s="7"/>
      <c r="D53" s="7" t="n">
        <v>2006</v>
      </c>
      <c r="E53" s="3" t="s">
        <v>644</v>
      </c>
      <c r="F53" s="7" t="s">
        <v>85</v>
      </c>
      <c r="G53" s="3" t="s">
        <v>86</v>
      </c>
      <c r="H53" s="7" t="s">
        <v>87</v>
      </c>
      <c r="I53" s="7" t="s">
        <v>125</v>
      </c>
      <c r="J53" s="7" t="s">
        <v>126</v>
      </c>
      <c r="K53" s="7" t="s">
        <v>127</v>
      </c>
      <c r="L53" s="3"/>
      <c r="M53" s="3" t="s">
        <v>645</v>
      </c>
      <c r="N53" s="3"/>
      <c r="O53" s="3" t="s">
        <v>646</v>
      </c>
      <c r="P53" s="3"/>
      <c r="Q53" s="7"/>
      <c r="R53" s="7"/>
      <c r="S53" s="3"/>
      <c r="T53" s="3" t="s">
        <v>647</v>
      </c>
      <c r="U53" s="7"/>
      <c r="V53" s="3" t="s">
        <v>85</v>
      </c>
      <c r="W53" s="3" t="s">
        <v>648</v>
      </c>
      <c r="X53" s="3" t="s">
        <v>649</v>
      </c>
      <c r="Y53" s="3" t="s">
        <v>650</v>
      </c>
      <c r="Z53" s="8" t="s">
        <v>651</v>
      </c>
    </row>
    <row r="54" customFormat="false" ht="141" hidden="false" customHeight="false" outlineLevel="0" collapsed="false">
      <c r="A54" s="7" t="s">
        <v>652</v>
      </c>
      <c r="B54" s="7" t="s">
        <v>653</v>
      </c>
      <c r="C54" s="7"/>
      <c r="D54" s="7" t="n">
        <v>2006</v>
      </c>
      <c r="E54" s="3" t="s">
        <v>654</v>
      </c>
      <c r="F54" s="7" t="s">
        <v>140</v>
      </c>
      <c r="G54" s="3" t="s">
        <v>141</v>
      </c>
      <c r="H54" s="7" t="s">
        <v>100</v>
      </c>
      <c r="I54" s="7" t="s">
        <v>101</v>
      </c>
      <c r="J54" s="7" t="s">
        <v>102</v>
      </c>
      <c r="K54" s="7" t="s">
        <v>490</v>
      </c>
      <c r="L54" s="3" t="s">
        <v>655</v>
      </c>
      <c r="M54" s="3" t="s">
        <v>656</v>
      </c>
      <c r="N54" s="3" t="s">
        <v>657</v>
      </c>
      <c r="O54" s="3" t="s">
        <v>658</v>
      </c>
      <c r="P54" s="3"/>
      <c r="Q54" s="7"/>
      <c r="R54" s="7"/>
      <c r="S54" s="3"/>
      <c r="T54" s="3" t="s">
        <v>659</v>
      </c>
      <c r="U54" s="7"/>
      <c r="V54" s="3" t="s">
        <v>296</v>
      </c>
      <c r="W54" s="3" t="s">
        <v>660</v>
      </c>
      <c r="X54" s="3" t="s">
        <v>661</v>
      </c>
      <c r="Y54" s="3" t="s">
        <v>662</v>
      </c>
      <c r="Z54" s="8" t="s">
        <v>663</v>
      </c>
    </row>
    <row r="55" customFormat="false" ht="26.85" hidden="false" customHeight="false" outlineLevel="0" collapsed="false">
      <c r="A55" s="7" t="s">
        <v>664</v>
      </c>
      <c r="B55" s="7" t="s">
        <v>653</v>
      </c>
      <c r="C55" s="7"/>
      <c r="D55" s="7" t="n">
        <v>2006</v>
      </c>
      <c r="E55" s="3" t="s">
        <v>665</v>
      </c>
      <c r="F55" s="7" t="s">
        <v>140</v>
      </c>
      <c r="G55" s="3" t="s">
        <v>141</v>
      </c>
      <c r="H55" s="7" t="s">
        <v>87</v>
      </c>
      <c r="I55" s="7" t="s">
        <v>666</v>
      </c>
      <c r="J55" s="7" t="s">
        <v>667</v>
      </c>
      <c r="K55" s="7" t="s">
        <v>668</v>
      </c>
      <c r="L55" s="3" t="s">
        <v>669</v>
      </c>
      <c r="M55" s="3" t="s">
        <v>670</v>
      </c>
      <c r="N55" s="3"/>
      <c r="O55" s="3" t="s">
        <v>671</v>
      </c>
      <c r="P55" s="3"/>
      <c r="Q55" s="7"/>
      <c r="R55" s="7"/>
      <c r="S55" s="3"/>
      <c r="T55" s="3" t="s">
        <v>672</v>
      </c>
      <c r="U55" s="7"/>
      <c r="V55" s="3" t="s">
        <v>140</v>
      </c>
      <c r="W55" s="3" t="s">
        <v>673</v>
      </c>
      <c r="X55" s="3" t="s">
        <v>674</v>
      </c>
      <c r="Y55" s="3" t="s">
        <v>675</v>
      </c>
      <c r="Z55" s="8" t="s">
        <v>676</v>
      </c>
    </row>
    <row r="56" customFormat="false" ht="26.85" hidden="false" customHeight="false" outlineLevel="0" collapsed="false">
      <c r="A56" s="7" t="s">
        <v>677</v>
      </c>
      <c r="B56" s="7" t="s">
        <v>678</v>
      </c>
      <c r="C56" s="7"/>
      <c r="D56" s="7" t="n">
        <v>2006</v>
      </c>
      <c r="E56" s="3" t="s">
        <v>679</v>
      </c>
      <c r="F56" s="7" t="s">
        <v>140</v>
      </c>
      <c r="G56" s="3" t="s">
        <v>141</v>
      </c>
      <c r="H56" s="7" t="s">
        <v>87</v>
      </c>
      <c r="I56" s="7" t="s">
        <v>331</v>
      </c>
      <c r="J56" s="7" t="s">
        <v>332</v>
      </c>
      <c r="K56" s="7" t="s">
        <v>680</v>
      </c>
      <c r="L56" s="3" t="s">
        <v>681</v>
      </c>
      <c r="M56" s="3" t="s">
        <v>682</v>
      </c>
      <c r="N56" s="3"/>
      <c r="O56" s="3" t="s">
        <v>683</v>
      </c>
      <c r="P56" s="3"/>
      <c r="Q56" s="7"/>
      <c r="R56" s="7"/>
      <c r="S56" s="3"/>
      <c r="T56" s="3" t="s">
        <v>684</v>
      </c>
      <c r="U56" s="7"/>
      <c r="V56" s="3" t="s">
        <v>296</v>
      </c>
      <c r="W56" s="3" t="s">
        <v>685</v>
      </c>
      <c r="X56" s="3" t="s">
        <v>686</v>
      </c>
      <c r="Y56" s="3" t="s">
        <v>687</v>
      </c>
      <c r="Z56" s="8" t="s">
        <v>688</v>
      </c>
    </row>
    <row r="57" customFormat="false" ht="77.6" hidden="false" customHeight="false" outlineLevel="0" collapsed="false">
      <c r="A57" s="7" t="s">
        <v>689</v>
      </c>
      <c r="B57" s="7" t="s">
        <v>690</v>
      </c>
      <c r="C57" s="7"/>
      <c r="D57" s="7" t="n">
        <v>2006</v>
      </c>
      <c r="E57" s="3" t="s">
        <v>691</v>
      </c>
      <c r="F57" s="7" t="s">
        <v>140</v>
      </c>
      <c r="G57" s="3" t="s">
        <v>141</v>
      </c>
      <c r="H57" s="7" t="s">
        <v>87</v>
      </c>
      <c r="I57" s="7" t="s">
        <v>331</v>
      </c>
      <c r="J57" s="7" t="s">
        <v>332</v>
      </c>
      <c r="K57" s="7" t="s">
        <v>680</v>
      </c>
      <c r="L57" s="3" t="s">
        <v>681</v>
      </c>
      <c r="M57" s="3" t="s">
        <v>692</v>
      </c>
      <c r="N57" s="3" t="s">
        <v>693</v>
      </c>
      <c r="O57" s="3" t="s">
        <v>694</v>
      </c>
      <c r="P57" s="3"/>
      <c r="Q57" s="7"/>
      <c r="R57" s="7"/>
      <c r="S57" s="3"/>
      <c r="T57" s="3" t="s">
        <v>695</v>
      </c>
      <c r="U57" s="7"/>
      <c r="V57" s="3" t="s">
        <v>296</v>
      </c>
      <c r="W57" s="3" t="s">
        <v>696</v>
      </c>
      <c r="X57" s="3" t="s">
        <v>697</v>
      </c>
      <c r="Y57" s="3" t="s">
        <v>698</v>
      </c>
      <c r="Z57" s="8" t="s">
        <v>699</v>
      </c>
    </row>
    <row r="58" customFormat="false" ht="26.85" hidden="false" customHeight="false" outlineLevel="0" collapsed="false">
      <c r="A58" s="7" t="s">
        <v>700</v>
      </c>
      <c r="B58" s="7" t="s">
        <v>701</v>
      </c>
      <c r="C58" s="7"/>
      <c r="D58" s="7" t="n">
        <v>2007</v>
      </c>
      <c r="E58" s="3" t="s">
        <v>702</v>
      </c>
      <c r="F58" s="7" t="s">
        <v>85</v>
      </c>
      <c r="G58" s="3" t="s">
        <v>86</v>
      </c>
      <c r="H58" s="7" t="s">
        <v>87</v>
      </c>
      <c r="I58" s="7" t="s">
        <v>703</v>
      </c>
      <c r="J58" s="7" t="s">
        <v>704</v>
      </c>
      <c r="K58" s="7" t="s">
        <v>274</v>
      </c>
      <c r="L58" s="3" t="s">
        <v>705</v>
      </c>
      <c r="M58" s="3" t="s">
        <v>706</v>
      </c>
      <c r="N58" s="3" t="s">
        <v>707</v>
      </c>
      <c r="O58" s="3"/>
      <c r="P58" s="3"/>
      <c r="Q58" s="7"/>
      <c r="R58" s="7"/>
      <c r="S58" s="3"/>
      <c r="T58" s="3" t="s">
        <v>708</v>
      </c>
      <c r="U58" s="7"/>
      <c r="V58" s="3" t="s">
        <v>85</v>
      </c>
      <c r="W58" s="3" t="s">
        <v>709</v>
      </c>
      <c r="X58" s="3" t="s">
        <v>710</v>
      </c>
      <c r="Y58" s="3" t="s">
        <v>711</v>
      </c>
      <c r="Z58" s="8" t="s">
        <v>712</v>
      </c>
    </row>
    <row r="59" customFormat="false" ht="26.85" hidden="false" customHeight="false" outlineLevel="0" collapsed="false">
      <c r="A59" s="7" t="s">
        <v>713</v>
      </c>
      <c r="B59" s="7" t="s">
        <v>714</v>
      </c>
      <c r="C59" s="7"/>
      <c r="D59" s="7" t="n">
        <v>2007</v>
      </c>
      <c r="E59" s="3" t="s">
        <v>715</v>
      </c>
      <c r="F59" s="7" t="s">
        <v>140</v>
      </c>
      <c r="G59" s="3" t="s">
        <v>141</v>
      </c>
      <c r="H59" s="7" t="s">
        <v>87</v>
      </c>
      <c r="I59" s="7" t="s">
        <v>317</v>
      </c>
      <c r="J59" s="7" t="s">
        <v>318</v>
      </c>
      <c r="K59" s="7" t="s">
        <v>90</v>
      </c>
      <c r="L59" s="3" t="s">
        <v>716</v>
      </c>
      <c r="M59" s="3" t="s">
        <v>717</v>
      </c>
      <c r="N59" s="3" t="s">
        <v>718</v>
      </c>
      <c r="O59" s="3" t="s">
        <v>719</v>
      </c>
      <c r="P59" s="3"/>
      <c r="Q59" s="7"/>
      <c r="R59" s="7"/>
      <c r="S59" s="3"/>
      <c r="T59" s="3" t="s">
        <v>720</v>
      </c>
      <c r="U59" s="7"/>
      <c r="V59" s="3" t="s">
        <v>140</v>
      </c>
      <c r="W59" s="3" t="s">
        <v>721</v>
      </c>
      <c r="X59" s="3" t="s">
        <v>722</v>
      </c>
      <c r="Y59" s="3" t="s">
        <v>723</v>
      </c>
      <c r="Z59" s="8" t="s">
        <v>724</v>
      </c>
    </row>
    <row r="60" customFormat="false" ht="26.85" hidden="false" customHeight="false" outlineLevel="0" collapsed="false">
      <c r="A60" s="7" t="s">
        <v>725</v>
      </c>
      <c r="B60" s="7" t="s">
        <v>726</v>
      </c>
      <c r="C60" s="7"/>
      <c r="D60" s="7" t="n">
        <v>2007</v>
      </c>
      <c r="E60" s="3" t="s">
        <v>727</v>
      </c>
      <c r="F60" s="7" t="s">
        <v>140</v>
      </c>
      <c r="G60" s="3" t="s">
        <v>141</v>
      </c>
      <c r="H60" s="7" t="s">
        <v>87</v>
      </c>
      <c r="I60" s="7" t="s">
        <v>304</v>
      </c>
      <c r="J60" s="7" t="s">
        <v>305</v>
      </c>
      <c r="K60" s="7" t="s">
        <v>728</v>
      </c>
      <c r="L60" s="3" t="s">
        <v>729</v>
      </c>
      <c r="M60" s="3" t="s">
        <v>730</v>
      </c>
      <c r="N60" s="3"/>
      <c r="O60" s="3"/>
      <c r="P60" s="3"/>
      <c r="Q60" s="7"/>
      <c r="R60" s="7"/>
      <c r="S60" s="3"/>
      <c r="T60" s="3" t="s">
        <v>731</v>
      </c>
      <c r="U60" s="7"/>
      <c r="V60" s="3" t="s">
        <v>140</v>
      </c>
      <c r="W60" s="3" t="s">
        <v>732</v>
      </c>
      <c r="X60" s="3" t="s">
        <v>733</v>
      </c>
      <c r="Y60" s="3" t="s">
        <v>734</v>
      </c>
      <c r="Z60" s="8" t="s">
        <v>735</v>
      </c>
    </row>
    <row r="61" customFormat="false" ht="39.55" hidden="false" customHeight="false" outlineLevel="0" collapsed="false">
      <c r="A61" s="7" t="s">
        <v>736</v>
      </c>
      <c r="B61" s="7" t="s">
        <v>737</v>
      </c>
      <c r="C61" s="7"/>
      <c r="D61" s="7" t="n">
        <v>2007</v>
      </c>
      <c r="E61" s="3" t="s">
        <v>738</v>
      </c>
      <c r="F61" s="7" t="s">
        <v>140</v>
      </c>
      <c r="G61" s="3" t="s">
        <v>141</v>
      </c>
      <c r="H61" s="7" t="s">
        <v>100</v>
      </c>
      <c r="I61" s="7" t="s">
        <v>101</v>
      </c>
      <c r="J61" s="7" t="s">
        <v>102</v>
      </c>
      <c r="K61" s="7" t="s">
        <v>490</v>
      </c>
      <c r="L61" s="3"/>
      <c r="M61" s="3" t="s">
        <v>739</v>
      </c>
      <c r="N61" s="3" t="s">
        <v>740</v>
      </c>
      <c r="O61" s="3" t="s">
        <v>741</v>
      </c>
      <c r="P61" s="3"/>
      <c r="Q61" s="7"/>
      <c r="R61" s="7"/>
      <c r="S61" s="3"/>
      <c r="T61" s="3" t="s">
        <v>742</v>
      </c>
      <c r="U61" s="7"/>
      <c r="V61" s="3" t="s">
        <v>743</v>
      </c>
      <c r="W61" s="3" t="s">
        <v>744</v>
      </c>
      <c r="X61" s="3" t="s">
        <v>745</v>
      </c>
      <c r="Y61" s="3" t="s">
        <v>746</v>
      </c>
      <c r="Z61" s="8" t="s">
        <v>747</v>
      </c>
    </row>
    <row r="62" customFormat="false" ht="26.85" hidden="false" customHeight="false" outlineLevel="0" collapsed="false">
      <c r="A62" s="7" t="s">
        <v>748</v>
      </c>
      <c r="B62" s="7" t="s">
        <v>749</v>
      </c>
      <c r="C62" s="7"/>
      <c r="D62" s="7" t="n">
        <v>2008</v>
      </c>
      <c r="E62" s="3" t="s">
        <v>750</v>
      </c>
      <c r="F62" s="7" t="s">
        <v>123</v>
      </c>
      <c r="G62" s="3" t="s">
        <v>124</v>
      </c>
      <c r="H62" s="7" t="s">
        <v>87</v>
      </c>
      <c r="I62" s="7" t="s">
        <v>751</v>
      </c>
      <c r="J62" s="7" t="s">
        <v>752</v>
      </c>
      <c r="K62" s="7" t="s">
        <v>274</v>
      </c>
      <c r="L62" s="3" t="s">
        <v>753</v>
      </c>
      <c r="M62" s="3" t="s">
        <v>754</v>
      </c>
      <c r="N62" s="3" t="s">
        <v>755</v>
      </c>
      <c r="O62" s="3"/>
      <c r="P62" s="3" t="s">
        <v>756</v>
      </c>
      <c r="Q62" s="7" t="s">
        <v>757</v>
      </c>
      <c r="R62" s="7"/>
      <c r="S62" s="3" t="s">
        <v>758</v>
      </c>
      <c r="T62" s="3" t="s">
        <v>759</v>
      </c>
      <c r="U62" s="7"/>
      <c r="V62" s="3" t="s">
        <v>296</v>
      </c>
      <c r="W62" s="3" t="s">
        <v>760</v>
      </c>
      <c r="X62" s="3" t="s">
        <v>761</v>
      </c>
      <c r="Y62" s="3" t="s">
        <v>762</v>
      </c>
      <c r="Z62" s="8" t="s">
        <v>763</v>
      </c>
    </row>
    <row r="63" customFormat="false" ht="26.85" hidden="false" customHeight="false" outlineLevel="0" collapsed="false">
      <c r="A63" s="7" t="s">
        <v>764</v>
      </c>
      <c r="B63" s="7" t="s">
        <v>749</v>
      </c>
      <c r="C63" s="7"/>
      <c r="D63" s="7" t="n">
        <v>2008</v>
      </c>
      <c r="E63" s="3" t="s">
        <v>765</v>
      </c>
      <c r="F63" s="7" t="s">
        <v>123</v>
      </c>
      <c r="G63" s="3" t="s">
        <v>124</v>
      </c>
      <c r="H63" s="7" t="s">
        <v>87</v>
      </c>
      <c r="I63" s="7" t="s">
        <v>272</v>
      </c>
      <c r="J63" s="7" t="s">
        <v>273</v>
      </c>
      <c r="K63" s="7" t="s">
        <v>90</v>
      </c>
      <c r="L63" s="3" t="s">
        <v>766</v>
      </c>
      <c r="M63" s="3" t="s">
        <v>767</v>
      </c>
      <c r="N63" s="3" t="s">
        <v>768</v>
      </c>
      <c r="O63" s="3" t="s">
        <v>769</v>
      </c>
      <c r="P63" s="3" t="s">
        <v>770</v>
      </c>
      <c r="Q63" s="7" t="s">
        <v>771</v>
      </c>
      <c r="R63" s="7"/>
      <c r="S63" s="3" t="s">
        <v>772</v>
      </c>
      <c r="T63" s="3" t="s">
        <v>773</v>
      </c>
      <c r="U63" s="7"/>
      <c r="V63" s="3" t="s">
        <v>296</v>
      </c>
      <c r="W63" s="3" t="s">
        <v>774</v>
      </c>
      <c r="X63" s="3" t="s">
        <v>775</v>
      </c>
      <c r="Y63" s="3" t="s">
        <v>776</v>
      </c>
      <c r="Z63" s="8" t="s">
        <v>777</v>
      </c>
    </row>
    <row r="64" customFormat="false" ht="26.85" hidden="false" customHeight="false" outlineLevel="0" collapsed="false">
      <c r="A64" s="7" t="s">
        <v>778</v>
      </c>
      <c r="B64" s="7" t="s">
        <v>779</v>
      </c>
      <c r="C64" s="7"/>
      <c r="D64" s="7" t="n">
        <v>2008</v>
      </c>
      <c r="E64" s="3" t="s">
        <v>780</v>
      </c>
      <c r="F64" s="7" t="s">
        <v>123</v>
      </c>
      <c r="G64" s="3" t="s">
        <v>124</v>
      </c>
      <c r="H64" s="7" t="s">
        <v>87</v>
      </c>
      <c r="I64" s="7" t="s">
        <v>781</v>
      </c>
      <c r="J64" s="7" t="s">
        <v>782</v>
      </c>
      <c r="K64" s="7" t="s">
        <v>90</v>
      </c>
      <c r="L64" s="3" t="s">
        <v>783</v>
      </c>
      <c r="M64" s="3" t="s">
        <v>784</v>
      </c>
      <c r="N64" s="3" t="s">
        <v>785</v>
      </c>
      <c r="O64" s="3" t="s">
        <v>786</v>
      </c>
      <c r="P64" s="3" t="s">
        <v>787</v>
      </c>
      <c r="Q64" s="7" t="s">
        <v>757</v>
      </c>
      <c r="R64" s="7" t="n">
        <v>303</v>
      </c>
      <c r="S64" s="3" t="s">
        <v>788</v>
      </c>
      <c r="T64" s="3" t="s">
        <v>789</v>
      </c>
      <c r="U64" s="7"/>
      <c r="V64" s="3" t="s">
        <v>296</v>
      </c>
      <c r="W64" s="3" t="s">
        <v>790</v>
      </c>
      <c r="X64" s="3" t="s">
        <v>791</v>
      </c>
      <c r="Y64" s="3" t="s">
        <v>792</v>
      </c>
      <c r="Z64" s="8" t="s">
        <v>793</v>
      </c>
    </row>
    <row r="65" customFormat="false" ht="26.85" hidden="false" customHeight="false" outlineLevel="0" collapsed="false">
      <c r="A65" s="7" t="s">
        <v>794</v>
      </c>
      <c r="B65" s="7" t="s">
        <v>779</v>
      </c>
      <c r="C65" s="7"/>
      <c r="D65" s="7" t="n">
        <v>2008</v>
      </c>
      <c r="E65" s="3" t="s">
        <v>795</v>
      </c>
      <c r="F65" s="7" t="s">
        <v>140</v>
      </c>
      <c r="G65" s="3" t="s">
        <v>141</v>
      </c>
      <c r="H65" s="7" t="s">
        <v>87</v>
      </c>
      <c r="I65" s="7" t="s">
        <v>164</v>
      </c>
      <c r="J65" s="7" t="s">
        <v>165</v>
      </c>
      <c r="K65" s="7" t="s">
        <v>166</v>
      </c>
      <c r="L65" s="3" t="s">
        <v>175</v>
      </c>
      <c r="M65" s="3" t="s">
        <v>796</v>
      </c>
      <c r="N65" s="3" t="s">
        <v>797</v>
      </c>
      <c r="O65" s="3"/>
      <c r="P65" s="3"/>
      <c r="Q65" s="7"/>
      <c r="R65" s="7"/>
      <c r="S65" s="3"/>
      <c r="T65" s="3" t="s">
        <v>798</v>
      </c>
      <c r="U65" s="7"/>
      <c r="V65" s="3" t="s">
        <v>140</v>
      </c>
      <c r="W65" s="3" t="s">
        <v>799</v>
      </c>
      <c r="X65" s="3" t="s">
        <v>800</v>
      </c>
      <c r="Y65" s="3" t="s">
        <v>801</v>
      </c>
      <c r="Z65" s="8" t="s">
        <v>802</v>
      </c>
    </row>
    <row r="66" customFormat="false" ht="52.2" hidden="false" customHeight="false" outlineLevel="0" collapsed="false">
      <c r="A66" s="7" t="s">
        <v>803</v>
      </c>
      <c r="B66" s="7" t="s">
        <v>804</v>
      </c>
      <c r="C66" s="7"/>
      <c r="D66" s="7" t="n">
        <v>2008</v>
      </c>
      <c r="E66" s="3" t="s">
        <v>805</v>
      </c>
      <c r="F66" s="7" t="s">
        <v>123</v>
      </c>
      <c r="G66" s="3" t="s">
        <v>124</v>
      </c>
      <c r="H66" s="7" t="s">
        <v>100</v>
      </c>
      <c r="I66" s="7" t="s">
        <v>101</v>
      </c>
      <c r="J66" s="7" t="s">
        <v>102</v>
      </c>
      <c r="K66" s="7" t="s">
        <v>490</v>
      </c>
      <c r="L66" s="3" t="s">
        <v>491</v>
      </c>
      <c r="M66" s="3" t="s">
        <v>806</v>
      </c>
      <c r="N66" s="3" t="s">
        <v>807</v>
      </c>
      <c r="O66" s="3" t="s">
        <v>808</v>
      </c>
      <c r="P66" s="3" t="s">
        <v>809</v>
      </c>
      <c r="Q66" s="7" t="s">
        <v>810</v>
      </c>
      <c r="R66" s="7" t="n">
        <v>412</v>
      </c>
      <c r="S66" s="3" t="s">
        <v>811</v>
      </c>
      <c r="T66" s="3" t="s">
        <v>812</v>
      </c>
      <c r="U66" s="7"/>
      <c r="V66" s="3" t="s">
        <v>296</v>
      </c>
      <c r="W66" s="3" t="s">
        <v>813</v>
      </c>
      <c r="X66" s="3" t="s">
        <v>814</v>
      </c>
      <c r="Y66" s="3" t="s">
        <v>815</v>
      </c>
      <c r="Z66" s="8" t="s">
        <v>816</v>
      </c>
    </row>
    <row r="67" customFormat="false" ht="26.85" hidden="false" customHeight="false" outlineLevel="0" collapsed="false">
      <c r="A67" s="7" t="s">
        <v>817</v>
      </c>
      <c r="B67" s="7" t="s">
        <v>804</v>
      </c>
      <c r="C67" s="7"/>
      <c r="D67" s="7" t="n">
        <v>2008</v>
      </c>
      <c r="E67" s="3" t="s">
        <v>818</v>
      </c>
      <c r="F67" s="7" t="s">
        <v>123</v>
      </c>
      <c r="G67" s="3" t="s">
        <v>124</v>
      </c>
      <c r="H67" s="7" t="s">
        <v>100</v>
      </c>
      <c r="I67" s="7" t="s">
        <v>101</v>
      </c>
      <c r="J67" s="7" t="s">
        <v>102</v>
      </c>
      <c r="K67" s="7" t="s">
        <v>490</v>
      </c>
      <c r="L67" s="3" t="s">
        <v>491</v>
      </c>
      <c r="M67" s="3" t="s">
        <v>819</v>
      </c>
      <c r="N67" s="3"/>
      <c r="O67" s="3"/>
      <c r="P67" s="3" t="s">
        <v>809</v>
      </c>
      <c r="Q67" s="7" t="s">
        <v>810</v>
      </c>
      <c r="R67" s="7" t="n">
        <v>412</v>
      </c>
      <c r="S67" s="3" t="s">
        <v>820</v>
      </c>
      <c r="T67" s="3" t="s">
        <v>821</v>
      </c>
      <c r="U67" s="7"/>
      <c r="V67" s="3" t="s">
        <v>123</v>
      </c>
      <c r="W67" s="3" t="s">
        <v>822</v>
      </c>
      <c r="X67" s="3" t="s">
        <v>823</v>
      </c>
      <c r="Y67" s="3" t="s">
        <v>815</v>
      </c>
      <c r="Z67" s="8" t="s">
        <v>816</v>
      </c>
    </row>
    <row r="68" customFormat="false" ht="26.85" hidden="false" customHeight="false" outlineLevel="0" collapsed="false">
      <c r="A68" s="7" t="s">
        <v>824</v>
      </c>
      <c r="B68" s="7" t="s">
        <v>804</v>
      </c>
      <c r="C68" s="7"/>
      <c r="D68" s="7" t="n">
        <v>2008</v>
      </c>
      <c r="E68" s="3" t="s">
        <v>825</v>
      </c>
      <c r="F68" s="7" t="s">
        <v>123</v>
      </c>
      <c r="G68" s="3" t="s">
        <v>124</v>
      </c>
      <c r="H68" s="7" t="s">
        <v>100</v>
      </c>
      <c r="I68" s="7" t="s">
        <v>101</v>
      </c>
      <c r="J68" s="7" t="s">
        <v>102</v>
      </c>
      <c r="K68" s="7" t="s">
        <v>490</v>
      </c>
      <c r="L68" s="3" t="s">
        <v>491</v>
      </c>
      <c r="M68" s="3" t="s">
        <v>826</v>
      </c>
      <c r="N68" s="3" t="s">
        <v>827</v>
      </c>
      <c r="O68" s="3" t="s">
        <v>828</v>
      </c>
      <c r="P68" s="3" t="s">
        <v>809</v>
      </c>
      <c r="Q68" s="7" t="s">
        <v>810</v>
      </c>
      <c r="R68" s="7" t="n">
        <v>412</v>
      </c>
      <c r="S68" s="3" t="s">
        <v>820</v>
      </c>
      <c r="T68" s="3" t="s">
        <v>829</v>
      </c>
      <c r="U68" s="7"/>
      <c r="V68" s="3" t="s">
        <v>296</v>
      </c>
      <c r="W68" s="3" t="s">
        <v>830</v>
      </c>
      <c r="X68" s="3" t="s">
        <v>831</v>
      </c>
      <c r="Y68" s="3" t="s">
        <v>815</v>
      </c>
      <c r="Z68" s="8" t="s">
        <v>816</v>
      </c>
    </row>
    <row r="69" customFormat="false" ht="26.85" hidden="false" customHeight="false" outlineLevel="0" collapsed="false">
      <c r="A69" s="7" t="s">
        <v>832</v>
      </c>
      <c r="B69" s="7" t="s">
        <v>833</v>
      </c>
      <c r="C69" s="7"/>
      <c r="D69" s="7" t="n">
        <v>2008</v>
      </c>
      <c r="E69" s="3" t="s">
        <v>834</v>
      </c>
      <c r="F69" s="7" t="s">
        <v>123</v>
      </c>
      <c r="G69" s="3" t="s">
        <v>124</v>
      </c>
      <c r="H69" s="7" t="s">
        <v>87</v>
      </c>
      <c r="I69" s="7" t="s">
        <v>225</v>
      </c>
      <c r="J69" s="7" t="s">
        <v>226</v>
      </c>
      <c r="K69" s="7" t="s">
        <v>274</v>
      </c>
      <c r="L69" s="3" t="s">
        <v>456</v>
      </c>
      <c r="M69" s="3" t="s">
        <v>835</v>
      </c>
      <c r="N69" s="3" t="s">
        <v>836</v>
      </c>
      <c r="O69" s="3"/>
      <c r="P69" s="3" t="s">
        <v>837</v>
      </c>
      <c r="Q69" s="7" t="s">
        <v>810</v>
      </c>
      <c r="R69" s="7" t="n">
        <v>372</v>
      </c>
      <c r="S69" s="3" t="s">
        <v>838</v>
      </c>
      <c r="T69" s="3" t="s">
        <v>839</v>
      </c>
      <c r="U69" s="7"/>
      <c r="V69" s="3" t="s">
        <v>296</v>
      </c>
      <c r="W69" s="3" t="s">
        <v>840</v>
      </c>
      <c r="X69" s="3" t="s">
        <v>841</v>
      </c>
      <c r="Y69" s="3" t="s">
        <v>842</v>
      </c>
      <c r="Z69" s="8" t="s">
        <v>843</v>
      </c>
    </row>
    <row r="70" customFormat="false" ht="26.85" hidden="false" customHeight="false" outlineLevel="0" collapsed="false">
      <c r="A70" s="7" t="s">
        <v>844</v>
      </c>
      <c r="B70" s="7" t="s">
        <v>845</v>
      </c>
      <c r="C70" s="7"/>
      <c r="D70" s="7" t="n">
        <v>2008</v>
      </c>
      <c r="E70" s="3" t="s">
        <v>846</v>
      </c>
      <c r="F70" s="7" t="s">
        <v>85</v>
      </c>
      <c r="G70" s="3" t="s">
        <v>86</v>
      </c>
      <c r="H70" s="7" t="s">
        <v>100</v>
      </c>
      <c r="I70" s="7" t="s">
        <v>478</v>
      </c>
      <c r="J70" s="7" t="s">
        <v>479</v>
      </c>
      <c r="K70" s="7" t="s">
        <v>490</v>
      </c>
      <c r="L70" s="3" t="s">
        <v>531</v>
      </c>
      <c r="M70" s="3" t="s">
        <v>847</v>
      </c>
      <c r="N70" s="3" t="s">
        <v>848</v>
      </c>
      <c r="O70" s="3"/>
      <c r="P70" s="3"/>
      <c r="Q70" s="7"/>
      <c r="R70" s="7"/>
      <c r="S70" s="3"/>
      <c r="T70" s="3" t="s">
        <v>849</v>
      </c>
      <c r="U70" s="7"/>
      <c r="V70" s="3" t="s">
        <v>85</v>
      </c>
      <c r="W70" s="3" t="s">
        <v>850</v>
      </c>
      <c r="X70" s="3" t="s">
        <v>851</v>
      </c>
      <c r="Y70" s="3" t="s">
        <v>852</v>
      </c>
      <c r="Z70" s="8" t="s">
        <v>853</v>
      </c>
    </row>
    <row r="71" customFormat="false" ht="26.85" hidden="false" customHeight="false" outlineLevel="0" collapsed="false">
      <c r="A71" s="7" t="s">
        <v>854</v>
      </c>
      <c r="B71" s="7" t="s">
        <v>845</v>
      </c>
      <c r="C71" s="7"/>
      <c r="D71" s="7" t="n">
        <v>2008</v>
      </c>
      <c r="E71" s="3" t="s">
        <v>855</v>
      </c>
      <c r="F71" s="7" t="s">
        <v>123</v>
      </c>
      <c r="G71" s="3" t="s">
        <v>124</v>
      </c>
      <c r="H71" s="7" t="s">
        <v>100</v>
      </c>
      <c r="I71" s="7" t="s">
        <v>101</v>
      </c>
      <c r="J71" s="7" t="s">
        <v>102</v>
      </c>
      <c r="K71" s="7" t="s">
        <v>490</v>
      </c>
      <c r="L71" s="3" t="s">
        <v>856</v>
      </c>
      <c r="M71" s="3" t="s">
        <v>857</v>
      </c>
      <c r="N71" s="3" t="s">
        <v>858</v>
      </c>
      <c r="O71" s="3"/>
      <c r="P71" s="3" t="s">
        <v>809</v>
      </c>
      <c r="Q71" s="7" t="s">
        <v>810</v>
      </c>
      <c r="R71" s="7"/>
      <c r="S71" s="3" t="s">
        <v>820</v>
      </c>
      <c r="T71" s="3" t="s">
        <v>859</v>
      </c>
      <c r="U71" s="7"/>
      <c r="V71" s="3" t="s">
        <v>123</v>
      </c>
      <c r="W71" s="3" t="s">
        <v>860</v>
      </c>
      <c r="X71" s="3" t="s">
        <v>861</v>
      </c>
      <c r="Y71" s="3" t="s">
        <v>862</v>
      </c>
      <c r="Z71" s="8" t="s">
        <v>747</v>
      </c>
    </row>
    <row r="72" customFormat="false" ht="26.85" hidden="false" customHeight="false" outlineLevel="0" collapsed="false">
      <c r="A72" s="7" t="s">
        <v>863</v>
      </c>
      <c r="B72" s="7" t="s">
        <v>845</v>
      </c>
      <c r="C72" s="7"/>
      <c r="D72" s="7" t="n">
        <v>2008</v>
      </c>
      <c r="E72" s="3" t="s">
        <v>864</v>
      </c>
      <c r="F72" s="7" t="s">
        <v>123</v>
      </c>
      <c r="G72" s="3" t="s">
        <v>124</v>
      </c>
      <c r="H72" s="7" t="s">
        <v>87</v>
      </c>
      <c r="I72" s="7" t="s">
        <v>164</v>
      </c>
      <c r="J72" s="7" t="s">
        <v>165</v>
      </c>
      <c r="K72" s="7" t="s">
        <v>166</v>
      </c>
      <c r="L72" s="3" t="s">
        <v>175</v>
      </c>
      <c r="M72" s="3" t="s">
        <v>865</v>
      </c>
      <c r="N72" s="3"/>
      <c r="O72" s="3"/>
      <c r="P72" s="3" t="s">
        <v>866</v>
      </c>
      <c r="Q72" s="7" t="s">
        <v>810</v>
      </c>
      <c r="R72" s="7" t="n">
        <v>258</v>
      </c>
      <c r="S72" s="3" t="s">
        <v>867</v>
      </c>
      <c r="T72" s="3" t="s">
        <v>868</v>
      </c>
      <c r="U72" s="7"/>
      <c r="V72" s="3" t="s">
        <v>296</v>
      </c>
      <c r="W72" s="3" t="s">
        <v>869</v>
      </c>
      <c r="X72" s="3" t="s">
        <v>870</v>
      </c>
      <c r="Y72" s="3" t="s">
        <v>871</v>
      </c>
      <c r="Z72" s="8" t="s">
        <v>872</v>
      </c>
    </row>
    <row r="73" customFormat="false" ht="26.85" hidden="false" customHeight="false" outlineLevel="0" collapsed="false">
      <c r="A73" s="7" t="s">
        <v>873</v>
      </c>
      <c r="B73" s="7" t="s">
        <v>874</v>
      </c>
      <c r="C73" s="7"/>
      <c r="D73" s="7" t="n">
        <v>2008</v>
      </c>
      <c r="E73" s="3" t="s">
        <v>875</v>
      </c>
      <c r="F73" s="7" t="s">
        <v>123</v>
      </c>
      <c r="G73" s="3" t="s">
        <v>124</v>
      </c>
      <c r="H73" s="7" t="s">
        <v>87</v>
      </c>
      <c r="I73" s="7" t="s">
        <v>331</v>
      </c>
      <c r="J73" s="7" t="s">
        <v>332</v>
      </c>
      <c r="K73" s="7" t="s">
        <v>680</v>
      </c>
      <c r="L73" s="3" t="s">
        <v>681</v>
      </c>
      <c r="M73" s="3" t="s">
        <v>876</v>
      </c>
      <c r="N73" s="3" t="s">
        <v>877</v>
      </c>
      <c r="O73" s="3" t="s">
        <v>878</v>
      </c>
      <c r="P73" s="3" t="s">
        <v>879</v>
      </c>
      <c r="Q73" s="7" t="s">
        <v>880</v>
      </c>
      <c r="R73" s="7" t="n">
        <v>256</v>
      </c>
      <c r="S73" s="3" t="s">
        <v>881</v>
      </c>
      <c r="T73" s="3" t="s">
        <v>882</v>
      </c>
      <c r="U73" s="7"/>
      <c r="V73" s="3" t="s">
        <v>296</v>
      </c>
      <c r="W73" s="3" t="s">
        <v>883</v>
      </c>
      <c r="X73" s="3" t="s">
        <v>884</v>
      </c>
      <c r="Y73" s="3" t="s">
        <v>885</v>
      </c>
      <c r="Z73" s="8" t="s">
        <v>886</v>
      </c>
    </row>
    <row r="74" customFormat="false" ht="26.85" hidden="false" customHeight="false" outlineLevel="0" collapsed="false">
      <c r="A74" s="7" t="s">
        <v>887</v>
      </c>
      <c r="B74" s="7" t="s">
        <v>771</v>
      </c>
      <c r="C74" s="7"/>
      <c r="D74" s="7" t="n">
        <v>2008</v>
      </c>
      <c r="E74" s="3" t="s">
        <v>888</v>
      </c>
      <c r="F74" s="7" t="s">
        <v>123</v>
      </c>
      <c r="G74" s="3" t="s">
        <v>124</v>
      </c>
      <c r="H74" s="7" t="s">
        <v>100</v>
      </c>
      <c r="I74" s="7" t="s">
        <v>101</v>
      </c>
      <c r="J74" s="7" t="s">
        <v>102</v>
      </c>
      <c r="K74" s="7" t="s">
        <v>490</v>
      </c>
      <c r="L74" s="3" t="s">
        <v>856</v>
      </c>
      <c r="M74" s="3" t="s">
        <v>889</v>
      </c>
      <c r="N74" s="3"/>
      <c r="O74" s="3" t="s">
        <v>890</v>
      </c>
      <c r="P74" s="3" t="s">
        <v>809</v>
      </c>
      <c r="Q74" s="7" t="s">
        <v>810</v>
      </c>
      <c r="R74" s="7" t="n">
        <v>51</v>
      </c>
      <c r="S74" s="3" t="s">
        <v>820</v>
      </c>
      <c r="T74" s="3" t="s">
        <v>891</v>
      </c>
      <c r="U74" s="7"/>
      <c r="V74" s="3" t="s">
        <v>123</v>
      </c>
      <c r="W74" s="3" t="s">
        <v>892</v>
      </c>
      <c r="X74" s="3" t="s">
        <v>893</v>
      </c>
      <c r="Y74" s="3" t="s">
        <v>894</v>
      </c>
      <c r="Z74" s="8" t="s">
        <v>895</v>
      </c>
    </row>
    <row r="75" customFormat="false" ht="39.55" hidden="false" customHeight="false" outlineLevel="0" collapsed="false">
      <c r="A75" s="7" t="s">
        <v>896</v>
      </c>
      <c r="B75" s="7" t="s">
        <v>897</v>
      </c>
      <c r="C75" s="7"/>
      <c r="D75" s="7" t="n">
        <v>2009</v>
      </c>
      <c r="E75" s="3" t="s">
        <v>898</v>
      </c>
      <c r="F75" s="7" t="s">
        <v>140</v>
      </c>
      <c r="G75" s="3" t="s">
        <v>141</v>
      </c>
      <c r="H75" s="7" t="s">
        <v>87</v>
      </c>
      <c r="I75" s="7" t="s">
        <v>88</v>
      </c>
      <c r="J75" s="7" t="s">
        <v>89</v>
      </c>
      <c r="K75" s="7" t="s">
        <v>90</v>
      </c>
      <c r="L75" s="3" t="s">
        <v>899</v>
      </c>
      <c r="M75" s="3" t="s">
        <v>900</v>
      </c>
      <c r="N75" s="3" t="s">
        <v>901</v>
      </c>
      <c r="O75" s="3" t="s">
        <v>902</v>
      </c>
      <c r="P75" s="3"/>
      <c r="Q75" s="7"/>
      <c r="R75" s="7"/>
      <c r="S75" s="3"/>
      <c r="T75" s="3" t="s">
        <v>903</v>
      </c>
      <c r="U75" s="7"/>
      <c r="V75" s="3" t="s">
        <v>140</v>
      </c>
      <c r="W75" s="3" t="s">
        <v>904</v>
      </c>
      <c r="X75" s="3" t="s">
        <v>905</v>
      </c>
      <c r="Y75" s="3" t="s">
        <v>906</v>
      </c>
      <c r="Z75" s="8" t="s">
        <v>907</v>
      </c>
    </row>
    <row r="76" customFormat="false" ht="26.85" hidden="false" customHeight="false" outlineLevel="0" collapsed="false">
      <c r="A76" s="7" t="s">
        <v>908</v>
      </c>
      <c r="B76" s="7" t="s">
        <v>897</v>
      </c>
      <c r="C76" s="7"/>
      <c r="D76" s="7" t="n">
        <v>2009</v>
      </c>
      <c r="E76" s="3" t="s">
        <v>909</v>
      </c>
      <c r="F76" s="7" t="s">
        <v>85</v>
      </c>
      <c r="G76" s="3" t="s">
        <v>86</v>
      </c>
      <c r="H76" s="7" t="s">
        <v>87</v>
      </c>
      <c r="I76" s="7" t="s">
        <v>382</v>
      </c>
      <c r="J76" s="7" t="s">
        <v>383</v>
      </c>
      <c r="K76" s="7" t="s">
        <v>90</v>
      </c>
      <c r="L76" s="3" t="s">
        <v>910</v>
      </c>
      <c r="M76" s="3" t="s">
        <v>911</v>
      </c>
      <c r="N76" s="3"/>
      <c r="O76" s="3"/>
      <c r="P76" s="3"/>
      <c r="Q76" s="7"/>
      <c r="R76" s="7"/>
      <c r="S76" s="3"/>
      <c r="T76" s="3" t="s">
        <v>912</v>
      </c>
      <c r="U76" s="7"/>
      <c r="V76" s="3" t="s">
        <v>85</v>
      </c>
      <c r="W76" s="3" t="s">
        <v>913</v>
      </c>
      <c r="X76" s="3" t="s">
        <v>914</v>
      </c>
      <c r="Y76" s="3" t="s">
        <v>915</v>
      </c>
      <c r="Z76" s="8" t="s">
        <v>916</v>
      </c>
    </row>
    <row r="77" customFormat="false" ht="26.85" hidden="false" customHeight="false" outlineLevel="0" collapsed="false">
      <c r="A77" s="7" t="s">
        <v>917</v>
      </c>
      <c r="B77" s="7" t="s">
        <v>897</v>
      </c>
      <c r="C77" s="7"/>
      <c r="D77" s="7" t="n">
        <v>2009</v>
      </c>
      <c r="E77" s="3" t="s">
        <v>918</v>
      </c>
      <c r="F77" s="7" t="s">
        <v>123</v>
      </c>
      <c r="G77" s="3" t="s">
        <v>124</v>
      </c>
      <c r="H77" s="7" t="s">
        <v>87</v>
      </c>
      <c r="I77" s="7" t="s">
        <v>502</v>
      </c>
      <c r="J77" s="7" t="s">
        <v>503</v>
      </c>
      <c r="K77" s="7" t="s">
        <v>274</v>
      </c>
      <c r="L77" s="3" t="s">
        <v>919</v>
      </c>
      <c r="M77" s="3" t="s">
        <v>920</v>
      </c>
      <c r="N77" s="3" t="s">
        <v>921</v>
      </c>
      <c r="O77" s="3"/>
      <c r="P77" s="3" t="s">
        <v>922</v>
      </c>
      <c r="Q77" s="7" t="s">
        <v>923</v>
      </c>
      <c r="R77" s="7"/>
      <c r="S77" s="3" t="s">
        <v>924</v>
      </c>
      <c r="T77" s="3" t="s">
        <v>925</v>
      </c>
      <c r="U77" s="7"/>
      <c r="V77" s="3" t="s">
        <v>123</v>
      </c>
      <c r="W77" s="3" t="s">
        <v>926</v>
      </c>
      <c r="X77" s="3" t="s">
        <v>927</v>
      </c>
      <c r="Y77" s="3" t="s">
        <v>928</v>
      </c>
      <c r="Z77" s="8" t="s">
        <v>929</v>
      </c>
    </row>
    <row r="78" customFormat="false" ht="26.85" hidden="false" customHeight="false" outlineLevel="0" collapsed="false">
      <c r="A78" s="7" t="s">
        <v>930</v>
      </c>
      <c r="B78" s="7" t="s">
        <v>897</v>
      </c>
      <c r="C78" s="7"/>
      <c r="D78" s="7" t="n">
        <v>2009</v>
      </c>
      <c r="E78" s="3" t="s">
        <v>931</v>
      </c>
      <c r="F78" s="7" t="s">
        <v>85</v>
      </c>
      <c r="G78" s="3" t="s">
        <v>86</v>
      </c>
      <c r="H78" s="7" t="s">
        <v>100</v>
      </c>
      <c r="I78" s="7" t="s">
        <v>666</v>
      </c>
      <c r="J78" s="7" t="s">
        <v>667</v>
      </c>
      <c r="K78" s="7" t="s">
        <v>490</v>
      </c>
      <c r="L78" s="3"/>
      <c r="M78" s="3" t="s">
        <v>932</v>
      </c>
      <c r="N78" s="3"/>
      <c r="O78" s="3" t="s">
        <v>933</v>
      </c>
      <c r="P78" s="3"/>
      <c r="Q78" s="7"/>
      <c r="R78" s="7"/>
      <c r="S78" s="3"/>
      <c r="T78" s="3" t="s">
        <v>934</v>
      </c>
      <c r="U78" s="7"/>
      <c r="V78" s="3" t="s">
        <v>85</v>
      </c>
      <c r="W78" s="3" t="s">
        <v>935</v>
      </c>
      <c r="X78" s="3" t="s">
        <v>936</v>
      </c>
      <c r="Y78" s="3" t="s">
        <v>937</v>
      </c>
      <c r="Z78" s="8" t="s">
        <v>938</v>
      </c>
    </row>
    <row r="79" customFormat="false" ht="26.85" hidden="false" customHeight="false" outlineLevel="0" collapsed="false">
      <c r="A79" s="7" t="s">
        <v>939</v>
      </c>
      <c r="B79" s="7" t="s">
        <v>897</v>
      </c>
      <c r="C79" s="7"/>
      <c r="D79" s="7" t="n">
        <v>2009</v>
      </c>
      <c r="E79" s="3" t="s">
        <v>940</v>
      </c>
      <c r="F79" s="7" t="s">
        <v>140</v>
      </c>
      <c r="G79" s="3" t="s">
        <v>141</v>
      </c>
      <c r="H79" s="7" t="s">
        <v>87</v>
      </c>
      <c r="I79" s="7" t="s">
        <v>941</v>
      </c>
      <c r="J79" s="7" t="s">
        <v>942</v>
      </c>
      <c r="K79" s="7" t="s">
        <v>943</v>
      </c>
      <c r="L79" s="3"/>
      <c r="M79" s="3" t="s">
        <v>944</v>
      </c>
      <c r="N79" s="3" t="s">
        <v>945</v>
      </c>
      <c r="O79" s="3"/>
      <c r="P79" s="3"/>
      <c r="Q79" s="7"/>
      <c r="R79" s="7"/>
      <c r="S79" s="3"/>
      <c r="T79" s="3" t="s">
        <v>946</v>
      </c>
      <c r="U79" s="7"/>
      <c r="V79" s="3" t="s">
        <v>140</v>
      </c>
      <c r="W79" s="3" t="s">
        <v>947</v>
      </c>
      <c r="X79" s="3" t="s">
        <v>948</v>
      </c>
      <c r="Y79" s="3" t="s">
        <v>949</v>
      </c>
      <c r="Z79" s="8" t="s">
        <v>950</v>
      </c>
    </row>
    <row r="80" customFormat="false" ht="26.85" hidden="false" customHeight="false" outlineLevel="0" collapsed="false">
      <c r="A80" s="7" t="s">
        <v>951</v>
      </c>
      <c r="B80" s="7" t="s">
        <v>952</v>
      </c>
      <c r="C80" s="7"/>
      <c r="D80" s="7" t="n">
        <v>2009</v>
      </c>
      <c r="E80" s="3" t="s">
        <v>953</v>
      </c>
      <c r="F80" s="7" t="s">
        <v>123</v>
      </c>
      <c r="G80" s="3" t="s">
        <v>124</v>
      </c>
      <c r="H80" s="7" t="s">
        <v>87</v>
      </c>
      <c r="I80" s="7" t="s">
        <v>666</v>
      </c>
      <c r="J80" s="7" t="s">
        <v>667</v>
      </c>
      <c r="K80" s="7" t="s">
        <v>954</v>
      </c>
      <c r="L80" s="3" t="s">
        <v>955</v>
      </c>
      <c r="M80" s="3" t="s">
        <v>956</v>
      </c>
      <c r="N80" s="3"/>
      <c r="O80" s="3" t="s">
        <v>957</v>
      </c>
      <c r="P80" s="3" t="s">
        <v>958</v>
      </c>
      <c r="Q80" s="7" t="s">
        <v>810</v>
      </c>
      <c r="R80" s="7" t="n">
        <v>91</v>
      </c>
      <c r="S80" s="3" t="s">
        <v>959</v>
      </c>
      <c r="T80" s="3" t="s">
        <v>960</v>
      </c>
      <c r="U80" s="7"/>
      <c r="V80" s="3" t="s">
        <v>296</v>
      </c>
      <c r="W80" s="3" t="s">
        <v>961</v>
      </c>
      <c r="X80" s="3" t="s">
        <v>962</v>
      </c>
      <c r="Y80" s="3" t="s">
        <v>963</v>
      </c>
      <c r="Z80" s="8" t="s">
        <v>964</v>
      </c>
    </row>
    <row r="81" customFormat="false" ht="26.85" hidden="false" customHeight="false" outlineLevel="0" collapsed="false">
      <c r="A81" s="7" t="s">
        <v>965</v>
      </c>
      <c r="B81" s="7" t="s">
        <v>966</v>
      </c>
      <c r="C81" s="7"/>
      <c r="D81" s="7" t="n">
        <v>2009</v>
      </c>
      <c r="E81" s="3" t="s">
        <v>967</v>
      </c>
      <c r="F81" s="7" t="s">
        <v>123</v>
      </c>
      <c r="G81" s="3" t="s">
        <v>124</v>
      </c>
      <c r="H81" s="7" t="s">
        <v>100</v>
      </c>
      <c r="I81" s="7" t="s">
        <v>101</v>
      </c>
      <c r="J81" s="7" t="s">
        <v>102</v>
      </c>
      <c r="K81" s="7" t="s">
        <v>490</v>
      </c>
      <c r="L81" s="3" t="s">
        <v>968</v>
      </c>
      <c r="M81" s="3" t="s">
        <v>969</v>
      </c>
      <c r="N81" s="3"/>
      <c r="O81" s="3" t="s">
        <v>970</v>
      </c>
      <c r="P81" s="3" t="s">
        <v>809</v>
      </c>
      <c r="Q81" s="7" t="s">
        <v>810</v>
      </c>
      <c r="R81" s="7" t="n">
        <v>62</v>
      </c>
      <c r="S81" s="3" t="s">
        <v>820</v>
      </c>
      <c r="T81" s="3" t="s">
        <v>971</v>
      </c>
      <c r="U81" s="7"/>
      <c r="V81" s="3" t="s">
        <v>123</v>
      </c>
      <c r="W81" s="3" t="s">
        <v>972</v>
      </c>
      <c r="X81" s="3" t="s">
        <v>973</v>
      </c>
      <c r="Y81" s="3" t="s">
        <v>974</v>
      </c>
      <c r="Z81" s="8" t="s">
        <v>975</v>
      </c>
    </row>
    <row r="82" customFormat="false" ht="26.85" hidden="false" customHeight="false" outlineLevel="0" collapsed="false">
      <c r="A82" s="7" t="s">
        <v>976</v>
      </c>
      <c r="B82" s="7" t="s">
        <v>977</v>
      </c>
      <c r="C82" s="7"/>
      <c r="D82" s="7" t="n">
        <v>2009</v>
      </c>
      <c r="E82" s="3" t="s">
        <v>978</v>
      </c>
      <c r="F82" s="7" t="s">
        <v>123</v>
      </c>
      <c r="G82" s="3" t="s">
        <v>124</v>
      </c>
      <c r="H82" s="7" t="s">
        <v>87</v>
      </c>
      <c r="I82" s="7" t="s">
        <v>290</v>
      </c>
      <c r="J82" s="7" t="s">
        <v>291</v>
      </c>
      <c r="K82" s="7" t="s">
        <v>274</v>
      </c>
      <c r="L82" s="3" t="s">
        <v>979</v>
      </c>
      <c r="M82" s="3" t="s">
        <v>980</v>
      </c>
      <c r="N82" s="3"/>
      <c r="O82" s="3"/>
      <c r="P82" s="3" t="s">
        <v>981</v>
      </c>
      <c r="Q82" s="7" t="s">
        <v>923</v>
      </c>
      <c r="R82" s="7" t="n">
        <v>226</v>
      </c>
      <c r="S82" s="3" t="s">
        <v>982</v>
      </c>
      <c r="T82" s="3" t="s">
        <v>983</v>
      </c>
      <c r="U82" s="7"/>
      <c r="V82" s="3" t="s">
        <v>296</v>
      </c>
      <c r="W82" s="3" t="s">
        <v>984</v>
      </c>
      <c r="X82" s="3" t="s">
        <v>985</v>
      </c>
      <c r="Y82" s="3" t="s">
        <v>526</v>
      </c>
      <c r="Z82" s="8" t="s">
        <v>527</v>
      </c>
    </row>
    <row r="83" customFormat="false" ht="26.85" hidden="false" customHeight="false" outlineLevel="0" collapsed="false">
      <c r="A83" s="7" t="s">
        <v>986</v>
      </c>
      <c r="B83" s="7" t="s">
        <v>880</v>
      </c>
      <c r="C83" s="7"/>
      <c r="D83" s="7" t="n">
        <v>2009</v>
      </c>
      <c r="E83" s="3" t="s">
        <v>987</v>
      </c>
      <c r="F83" s="7" t="s">
        <v>85</v>
      </c>
      <c r="G83" s="3" t="s">
        <v>86</v>
      </c>
      <c r="H83" s="7" t="s">
        <v>87</v>
      </c>
      <c r="I83" s="7" t="s">
        <v>941</v>
      </c>
      <c r="J83" s="7" t="s">
        <v>942</v>
      </c>
      <c r="K83" s="7" t="s">
        <v>943</v>
      </c>
      <c r="L83" s="3" t="s">
        <v>988</v>
      </c>
      <c r="M83" s="3" t="s">
        <v>989</v>
      </c>
      <c r="N83" s="3" t="s">
        <v>990</v>
      </c>
      <c r="O83" s="3"/>
      <c r="P83" s="3"/>
      <c r="Q83" s="7"/>
      <c r="R83" s="7"/>
      <c r="S83" s="3"/>
      <c r="T83" s="3" t="s">
        <v>991</v>
      </c>
      <c r="U83" s="7"/>
      <c r="V83" s="3" t="s">
        <v>85</v>
      </c>
      <c r="W83" s="3" t="s">
        <v>992</v>
      </c>
      <c r="X83" s="3" t="s">
        <v>993</v>
      </c>
      <c r="Y83" s="3" t="s">
        <v>994</v>
      </c>
      <c r="Z83" s="8" t="s">
        <v>995</v>
      </c>
    </row>
    <row r="84" customFormat="false" ht="26.85" hidden="false" customHeight="false" outlineLevel="0" collapsed="false">
      <c r="A84" s="7" t="s">
        <v>996</v>
      </c>
      <c r="B84" s="7" t="s">
        <v>923</v>
      </c>
      <c r="C84" s="7"/>
      <c r="D84" s="7" t="n">
        <v>2009</v>
      </c>
      <c r="E84" s="3" t="s">
        <v>997</v>
      </c>
      <c r="F84" s="7" t="s">
        <v>85</v>
      </c>
      <c r="G84" s="3" t="s">
        <v>86</v>
      </c>
      <c r="H84" s="7" t="s">
        <v>100</v>
      </c>
      <c r="I84" s="7" t="s">
        <v>382</v>
      </c>
      <c r="J84" s="7" t="s">
        <v>383</v>
      </c>
      <c r="K84" s="7" t="s">
        <v>490</v>
      </c>
      <c r="L84" s="3" t="s">
        <v>531</v>
      </c>
      <c r="M84" s="3" t="s">
        <v>998</v>
      </c>
      <c r="N84" s="3"/>
      <c r="O84" s="3"/>
      <c r="P84" s="3"/>
      <c r="Q84" s="7"/>
      <c r="R84" s="7"/>
      <c r="S84" s="3"/>
      <c r="T84" s="3" t="s">
        <v>999</v>
      </c>
      <c r="U84" s="7"/>
      <c r="V84" s="3" t="s">
        <v>85</v>
      </c>
      <c r="W84" s="3" t="s">
        <v>1000</v>
      </c>
      <c r="X84" s="3" t="s">
        <v>1001</v>
      </c>
      <c r="Y84" s="3" t="s">
        <v>1002</v>
      </c>
      <c r="Z84" s="8" t="s">
        <v>1003</v>
      </c>
    </row>
    <row r="85" customFormat="false" ht="39.55" hidden="false" customHeight="false" outlineLevel="0" collapsed="false">
      <c r="A85" s="7" t="s">
        <v>1004</v>
      </c>
      <c r="B85" s="7" t="s">
        <v>1005</v>
      </c>
      <c r="C85" s="7"/>
      <c r="D85" s="7" t="n">
        <v>2010</v>
      </c>
      <c r="E85" s="3" t="s">
        <v>1006</v>
      </c>
      <c r="F85" s="7" t="s">
        <v>85</v>
      </c>
      <c r="G85" s="3" t="s">
        <v>86</v>
      </c>
      <c r="H85" s="7" t="s">
        <v>100</v>
      </c>
      <c r="I85" s="7" t="s">
        <v>101</v>
      </c>
      <c r="J85" s="7" t="s">
        <v>102</v>
      </c>
      <c r="K85" s="7" t="s">
        <v>490</v>
      </c>
      <c r="L85" s="3"/>
      <c r="M85" s="3" t="s">
        <v>1007</v>
      </c>
      <c r="N85" s="3"/>
      <c r="O85" s="3" t="s">
        <v>1008</v>
      </c>
      <c r="P85" s="3"/>
      <c r="Q85" s="7"/>
      <c r="R85" s="7"/>
      <c r="S85" s="3"/>
      <c r="T85" s="3" t="s">
        <v>1009</v>
      </c>
      <c r="U85" s="7"/>
      <c r="V85" s="3" t="s">
        <v>85</v>
      </c>
      <c r="W85" s="3" t="s">
        <v>1010</v>
      </c>
      <c r="X85" s="3" t="s">
        <v>1011</v>
      </c>
      <c r="Y85" s="3" t="s">
        <v>1012</v>
      </c>
      <c r="Z85" s="8" t="s">
        <v>119</v>
      </c>
    </row>
    <row r="86" customFormat="false" ht="26.85" hidden="false" customHeight="false" outlineLevel="0" collapsed="false">
      <c r="A86" s="7" t="s">
        <v>1013</v>
      </c>
      <c r="B86" s="7" t="s">
        <v>1014</v>
      </c>
      <c r="C86" s="7"/>
      <c r="D86" s="7" t="n">
        <v>2010</v>
      </c>
      <c r="E86" s="3" t="s">
        <v>1015</v>
      </c>
      <c r="F86" s="7" t="s">
        <v>85</v>
      </c>
      <c r="G86" s="3" t="s">
        <v>86</v>
      </c>
      <c r="H86" s="7" t="s">
        <v>87</v>
      </c>
      <c r="I86" s="7" t="s">
        <v>478</v>
      </c>
      <c r="J86" s="7" t="s">
        <v>479</v>
      </c>
      <c r="K86" s="7" t="s">
        <v>634</v>
      </c>
      <c r="L86" s="3" t="s">
        <v>635</v>
      </c>
      <c r="M86" s="3" t="s">
        <v>1016</v>
      </c>
      <c r="N86" s="3"/>
      <c r="O86" s="3"/>
      <c r="P86" s="3"/>
      <c r="Q86" s="7"/>
      <c r="R86" s="7"/>
      <c r="S86" s="3"/>
      <c r="T86" s="3" t="s">
        <v>1017</v>
      </c>
      <c r="U86" s="7"/>
      <c r="V86" s="3" t="s">
        <v>85</v>
      </c>
      <c r="W86" s="3" t="s">
        <v>1018</v>
      </c>
      <c r="X86" s="3" t="s">
        <v>1019</v>
      </c>
      <c r="Y86" s="3" t="s">
        <v>1020</v>
      </c>
      <c r="Z86" s="8" t="s">
        <v>1021</v>
      </c>
    </row>
    <row r="87" customFormat="false" ht="26.85" hidden="false" customHeight="false" outlineLevel="0" collapsed="false">
      <c r="A87" s="7" t="s">
        <v>1022</v>
      </c>
      <c r="B87" s="7" t="s">
        <v>1023</v>
      </c>
      <c r="C87" s="7"/>
      <c r="D87" s="7" t="n">
        <v>2010</v>
      </c>
      <c r="E87" s="3" t="s">
        <v>1024</v>
      </c>
      <c r="F87" s="7" t="s">
        <v>140</v>
      </c>
      <c r="G87" s="3" t="s">
        <v>141</v>
      </c>
      <c r="H87" s="7" t="s">
        <v>100</v>
      </c>
      <c r="I87" s="7" t="s">
        <v>101</v>
      </c>
      <c r="J87" s="7" t="s">
        <v>102</v>
      </c>
      <c r="K87" s="7" t="s">
        <v>490</v>
      </c>
      <c r="L87" s="3"/>
      <c r="M87" s="3" t="s">
        <v>1025</v>
      </c>
      <c r="N87" s="3"/>
      <c r="O87" s="3"/>
      <c r="P87" s="3"/>
      <c r="Q87" s="7"/>
      <c r="R87" s="7"/>
      <c r="S87" s="3"/>
      <c r="T87" s="3" t="s">
        <v>1026</v>
      </c>
      <c r="U87" s="7"/>
      <c r="V87" s="3" t="s">
        <v>140</v>
      </c>
      <c r="W87" s="3" t="s">
        <v>1027</v>
      </c>
      <c r="X87" s="3" t="s">
        <v>1028</v>
      </c>
      <c r="Y87" s="3" t="s">
        <v>1029</v>
      </c>
      <c r="Z87" s="8" t="s">
        <v>1030</v>
      </c>
    </row>
    <row r="88" customFormat="false" ht="26.85" hidden="false" customHeight="false" outlineLevel="0" collapsed="false">
      <c r="A88" s="7" t="s">
        <v>1031</v>
      </c>
      <c r="B88" s="7" t="s">
        <v>1032</v>
      </c>
      <c r="C88" s="7"/>
      <c r="D88" s="7" t="n">
        <v>2010</v>
      </c>
      <c r="E88" s="3" t="s">
        <v>1033</v>
      </c>
      <c r="F88" s="7" t="s">
        <v>140</v>
      </c>
      <c r="G88" s="3" t="s">
        <v>141</v>
      </c>
      <c r="H88" s="7" t="s">
        <v>87</v>
      </c>
      <c r="I88" s="7" t="s">
        <v>666</v>
      </c>
      <c r="J88" s="7" t="s">
        <v>667</v>
      </c>
      <c r="K88" s="7" t="s">
        <v>954</v>
      </c>
      <c r="L88" s="3" t="s">
        <v>955</v>
      </c>
      <c r="M88" s="3" t="s">
        <v>1034</v>
      </c>
      <c r="N88" s="3" t="s">
        <v>1035</v>
      </c>
      <c r="O88" s="3" t="s">
        <v>1036</v>
      </c>
      <c r="P88" s="3"/>
      <c r="Q88" s="7"/>
      <c r="R88" s="7"/>
      <c r="S88" s="3"/>
      <c r="T88" s="3" t="s">
        <v>1037</v>
      </c>
      <c r="U88" s="7"/>
      <c r="V88" s="3" t="s">
        <v>140</v>
      </c>
      <c r="W88" s="3" t="s">
        <v>1038</v>
      </c>
      <c r="X88" s="3" t="s">
        <v>1039</v>
      </c>
      <c r="Y88" s="3" t="s">
        <v>1040</v>
      </c>
      <c r="Z88" s="8" t="s">
        <v>1041</v>
      </c>
    </row>
    <row r="89" customFormat="false" ht="26.85" hidden="false" customHeight="false" outlineLevel="0" collapsed="false">
      <c r="A89" s="7" t="s">
        <v>1042</v>
      </c>
      <c r="B89" s="7" t="s">
        <v>1043</v>
      </c>
      <c r="C89" s="7"/>
      <c r="D89" s="7" t="n">
        <v>2011</v>
      </c>
      <c r="E89" s="3" t="s">
        <v>1044</v>
      </c>
      <c r="F89" s="7" t="s">
        <v>140</v>
      </c>
      <c r="G89" s="3" t="s">
        <v>141</v>
      </c>
      <c r="H89" s="7" t="s">
        <v>87</v>
      </c>
      <c r="I89" s="7" t="s">
        <v>125</v>
      </c>
      <c r="J89" s="7" t="s">
        <v>126</v>
      </c>
      <c r="K89" s="7" t="s">
        <v>1045</v>
      </c>
      <c r="L89" s="3" t="s">
        <v>1046</v>
      </c>
      <c r="M89" s="3" t="s">
        <v>1047</v>
      </c>
      <c r="N89" s="3" t="s">
        <v>1048</v>
      </c>
      <c r="O89" s="3" t="s">
        <v>1049</v>
      </c>
      <c r="P89" s="3"/>
      <c r="Q89" s="7"/>
      <c r="R89" s="7"/>
      <c r="S89" s="3"/>
      <c r="T89" s="3" t="s">
        <v>1050</v>
      </c>
      <c r="U89" s="7"/>
      <c r="V89" s="3" t="s">
        <v>140</v>
      </c>
      <c r="W89" s="3" t="s">
        <v>1051</v>
      </c>
      <c r="X89" s="3" t="s">
        <v>1052</v>
      </c>
      <c r="Y89" s="3" t="s">
        <v>1053</v>
      </c>
      <c r="Z89" s="8" t="s">
        <v>1054</v>
      </c>
    </row>
    <row r="90" customFormat="false" ht="26.85" hidden="false" customHeight="false" outlineLevel="0" collapsed="false">
      <c r="A90" s="7" t="s">
        <v>1055</v>
      </c>
      <c r="B90" s="7" t="s">
        <v>1043</v>
      </c>
      <c r="C90" s="7"/>
      <c r="D90" s="7" t="n">
        <v>2011</v>
      </c>
      <c r="E90" s="3" t="s">
        <v>1056</v>
      </c>
      <c r="F90" s="7" t="s">
        <v>123</v>
      </c>
      <c r="G90" s="3" t="s">
        <v>124</v>
      </c>
      <c r="H90" s="7" t="s">
        <v>87</v>
      </c>
      <c r="I90" s="7" t="s">
        <v>125</v>
      </c>
      <c r="J90" s="7" t="s">
        <v>126</v>
      </c>
      <c r="K90" s="7" t="s">
        <v>127</v>
      </c>
      <c r="L90" s="3" t="s">
        <v>1057</v>
      </c>
      <c r="M90" s="3" t="s">
        <v>1058</v>
      </c>
      <c r="N90" s="3"/>
      <c r="O90" s="3" t="s">
        <v>1059</v>
      </c>
      <c r="P90" s="3" t="s">
        <v>1060</v>
      </c>
      <c r="Q90" s="7" t="s">
        <v>1061</v>
      </c>
      <c r="R90" s="7"/>
      <c r="S90" s="3" t="s">
        <v>1062</v>
      </c>
      <c r="T90" s="3" t="s">
        <v>1063</v>
      </c>
      <c r="U90" s="7"/>
      <c r="V90" s="3" t="s">
        <v>296</v>
      </c>
      <c r="W90" s="3" t="s">
        <v>1064</v>
      </c>
      <c r="X90" s="3" t="s">
        <v>1065</v>
      </c>
      <c r="Y90" s="3" t="s">
        <v>1066</v>
      </c>
      <c r="Z90" s="8" t="s">
        <v>1067</v>
      </c>
    </row>
    <row r="91" customFormat="false" ht="26.85" hidden="false" customHeight="false" outlineLevel="0" collapsed="false">
      <c r="A91" s="7" t="s">
        <v>1068</v>
      </c>
      <c r="B91" s="7" t="s">
        <v>1069</v>
      </c>
      <c r="C91" s="7"/>
      <c r="D91" s="7" t="n">
        <v>2011</v>
      </c>
      <c r="E91" s="3" t="s">
        <v>1070</v>
      </c>
      <c r="F91" s="7" t="s">
        <v>140</v>
      </c>
      <c r="G91" s="3" t="s">
        <v>141</v>
      </c>
      <c r="H91" s="7" t="s">
        <v>87</v>
      </c>
      <c r="I91" s="7" t="s">
        <v>259</v>
      </c>
      <c r="J91" s="7" t="s">
        <v>260</v>
      </c>
      <c r="K91" s="7" t="s">
        <v>274</v>
      </c>
      <c r="L91" s="3" t="s">
        <v>1071</v>
      </c>
      <c r="M91" s="3" t="s">
        <v>1072</v>
      </c>
      <c r="N91" s="3" t="s">
        <v>1073</v>
      </c>
      <c r="O91" s="3" t="s">
        <v>1074</v>
      </c>
      <c r="P91" s="3"/>
      <c r="Q91" s="7"/>
      <c r="R91" s="7"/>
      <c r="S91" s="3"/>
      <c r="T91" s="3" t="s">
        <v>1075</v>
      </c>
      <c r="U91" s="7"/>
      <c r="V91" s="3" t="s">
        <v>140</v>
      </c>
      <c r="W91" s="3" t="s">
        <v>1076</v>
      </c>
      <c r="X91" s="3" t="s">
        <v>1077</v>
      </c>
      <c r="Y91" s="3" t="s">
        <v>268</v>
      </c>
      <c r="Z91" s="8" t="s">
        <v>269</v>
      </c>
    </row>
    <row r="92" customFormat="false" ht="26.85" hidden="false" customHeight="false" outlineLevel="0" collapsed="false">
      <c r="A92" s="7" t="s">
        <v>1078</v>
      </c>
      <c r="B92" s="7" t="s">
        <v>1069</v>
      </c>
      <c r="C92" s="7"/>
      <c r="D92" s="7" t="n">
        <v>2011</v>
      </c>
      <c r="E92" s="3" t="s">
        <v>1079</v>
      </c>
      <c r="F92" s="7" t="s">
        <v>123</v>
      </c>
      <c r="G92" s="3" t="s">
        <v>124</v>
      </c>
      <c r="H92" s="7" t="s">
        <v>87</v>
      </c>
      <c r="I92" s="7" t="s">
        <v>666</v>
      </c>
      <c r="J92" s="7" t="s">
        <v>667</v>
      </c>
      <c r="K92" s="7" t="s">
        <v>954</v>
      </c>
      <c r="L92" s="3" t="s">
        <v>955</v>
      </c>
      <c r="M92" s="3" t="s">
        <v>1080</v>
      </c>
      <c r="N92" s="3"/>
      <c r="O92" s="3" t="s">
        <v>1081</v>
      </c>
      <c r="P92" s="3" t="s">
        <v>1082</v>
      </c>
      <c r="Q92" s="7" t="s">
        <v>1083</v>
      </c>
      <c r="R92" s="7" t="n">
        <v>389</v>
      </c>
      <c r="S92" s="3" t="s">
        <v>1084</v>
      </c>
      <c r="T92" s="3" t="s">
        <v>1085</v>
      </c>
      <c r="U92" s="7"/>
      <c r="V92" s="3" t="s">
        <v>123</v>
      </c>
      <c r="W92" s="3" t="s">
        <v>1086</v>
      </c>
      <c r="X92" s="3" t="s">
        <v>1087</v>
      </c>
      <c r="Y92" s="3" t="s">
        <v>1088</v>
      </c>
      <c r="Z92" s="8" t="s">
        <v>1089</v>
      </c>
    </row>
    <row r="93" customFormat="false" ht="26.85" hidden="false" customHeight="false" outlineLevel="0" collapsed="false">
      <c r="A93" s="7" t="s">
        <v>1090</v>
      </c>
      <c r="B93" s="7" t="s">
        <v>1091</v>
      </c>
      <c r="C93" s="7"/>
      <c r="D93" s="7" t="n">
        <v>2011</v>
      </c>
      <c r="E93" s="3" t="s">
        <v>1092</v>
      </c>
      <c r="F93" s="7" t="s">
        <v>123</v>
      </c>
      <c r="G93" s="3" t="s">
        <v>124</v>
      </c>
      <c r="H93" s="7" t="s">
        <v>100</v>
      </c>
      <c r="I93" s="7" t="s">
        <v>941</v>
      </c>
      <c r="J93" s="7" t="s">
        <v>942</v>
      </c>
      <c r="K93" s="7" t="s">
        <v>490</v>
      </c>
      <c r="L93" s="3" t="s">
        <v>856</v>
      </c>
      <c r="M93" s="3" t="s">
        <v>1093</v>
      </c>
      <c r="N93" s="3"/>
      <c r="O93" s="3"/>
      <c r="P93" s="3" t="s">
        <v>1094</v>
      </c>
      <c r="Q93" s="7" t="s">
        <v>1061</v>
      </c>
      <c r="R93" s="7"/>
      <c r="S93" s="3" t="s">
        <v>1095</v>
      </c>
      <c r="T93" s="3" t="s">
        <v>1096</v>
      </c>
      <c r="U93" s="7"/>
      <c r="V93" s="3" t="s">
        <v>123</v>
      </c>
      <c r="W93" s="3" t="s">
        <v>1097</v>
      </c>
      <c r="X93" s="3" t="s">
        <v>1098</v>
      </c>
      <c r="Y93" s="3" t="s">
        <v>1099</v>
      </c>
      <c r="Z93" s="8" t="s">
        <v>1100</v>
      </c>
    </row>
    <row r="94" customFormat="false" ht="26.85" hidden="false" customHeight="false" outlineLevel="0" collapsed="false">
      <c r="A94" s="7" t="s">
        <v>1101</v>
      </c>
      <c r="B94" s="7" t="s">
        <v>1102</v>
      </c>
      <c r="C94" s="7"/>
      <c r="D94" s="7" t="n">
        <v>2011</v>
      </c>
      <c r="E94" s="3" t="s">
        <v>1103</v>
      </c>
      <c r="F94" s="7" t="s">
        <v>140</v>
      </c>
      <c r="G94" s="3" t="s">
        <v>141</v>
      </c>
      <c r="H94" s="7" t="s">
        <v>87</v>
      </c>
      <c r="I94" s="7" t="s">
        <v>331</v>
      </c>
      <c r="J94" s="7" t="s">
        <v>332</v>
      </c>
      <c r="K94" s="7" t="s">
        <v>333</v>
      </c>
      <c r="L94" s="3" t="s">
        <v>466</v>
      </c>
      <c r="M94" s="3" t="s">
        <v>1104</v>
      </c>
      <c r="N94" s="3" t="s">
        <v>1105</v>
      </c>
      <c r="O94" s="3"/>
      <c r="P94" s="3"/>
      <c r="Q94" s="7"/>
      <c r="R94" s="7"/>
      <c r="S94" s="3"/>
      <c r="T94" s="3" t="s">
        <v>1106</v>
      </c>
      <c r="U94" s="7"/>
      <c r="V94" s="3" t="s">
        <v>296</v>
      </c>
      <c r="W94" s="3" t="s">
        <v>1107</v>
      </c>
      <c r="X94" s="3" t="s">
        <v>1108</v>
      </c>
      <c r="Y94" s="3" t="s">
        <v>1109</v>
      </c>
      <c r="Z94" s="8" t="s">
        <v>1110</v>
      </c>
    </row>
    <row r="95" customFormat="false" ht="26.85" hidden="false" customHeight="false" outlineLevel="0" collapsed="false">
      <c r="A95" s="7" t="s">
        <v>1111</v>
      </c>
      <c r="B95" s="7" t="s">
        <v>1112</v>
      </c>
      <c r="C95" s="7"/>
      <c r="D95" s="7" t="n">
        <v>2011</v>
      </c>
      <c r="E95" s="3" t="s">
        <v>1113</v>
      </c>
      <c r="F95" s="7" t="s">
        <v>85</v>
      </c>
      <c r="G95" s="3" t="s">
        <v>86</v>
      </c>
      <c r="H95" s="7" t="s">
        <v>100</v>
      </c>
      <c r="I95" s="7" t="s">
        <v>1114</v>
      </c>
      <c r="J95" s="7" t="s">
        <v>1115</v>
      </c>
      <c r="K95" s="7" t="s">
        <v>490</v>
      </c>
      <c r="L95" s="3" t="s">
        <v>531</v>
      </c>
      <c r="M95" s="3" t="s">
        <v>1116</v>
      </c>
      <c r="N95" s="3"/>
      <c r="O95" s="3"/>
      <c r="P95" s="3"/>
      <c r="Q95" s="7"/>
      <c r="R95" s="7"/>
      <c r="S95" s="3"/>
      <c r="T95" s="3" t="s">
        <v>1117</v>
      </c>
      <c r="U95" s="7"/>
      <c r="V95" s="3" t="s">
        <v>85</v>
      </c>
      <c r="W95" s="3" t="s">
        <v>1118</v>
      </c>
      <c r="X95" s="3" t="s">
        <v>1119</v>
      </c>
      <c r="Y95" s="3" t="s">
        <v>1120</v>
      </c>
      <c r="Z95" s="8" t="s">
        <v>1121</v>
      </c>
    </row>
    <row r="96" customFormat="false" ht="26.85" hidden="false" customHeight="false" outlineLevel="0" collapsed="false">
      <c r="A96" s="7" t="s">
        <v>1122</v>
      </c>
      <c r="B96" s="7" t="s">
        <v>1112</v>
      </c>
      <c r="C96" s="7"/>
      <c r="D96" s="7" t="n">
        <v>2011</v>
      </c>
      <c r="E96" s="3" t="s">
        <v>1123</v>
      </c>
      <c r="F96" s="7" t="s">
        <v>140</v>
      </c>
      <c r="G96" s="3" t="s">
        <v>141</v>
      </c>
      <c r="H96" s="7" t="s">
        <v>87</v>
      </c>
      <c r="I96" s="7" t="s">
        <v>331</v>
      </c>
      <c r="J96" s="7" t="s">
        <v>332</v>
      </c>
      <c r="K96" s="7" t="s">
        <v>333</v>
      </c>
      <c r="L96" s="3" t="s">
        <v>466</v>
      </c>
      <c r="M96" s="3" t="s">
        <v>1124</v>
      </c>
      <c r="N96" s="3" t="s">
        <v>1125</v>
      </c>
      <c r="O96" s="3" t="s">
        <v>1126</v>
      </c>
      <c r="P96" s="3"/>
      <c r="Q96" s="7"/>
      <c r="R96" s="7"/>
      <c r="S96" s="3"/>
      <c r="T96" s="3" t="s">
        <v>1127</v>
      </c>
      <c r="U96" s="7"/>
      <c r="V96" s="3" t="s">
        <v>140</v>
      </c>
      <c r="W96" s="3" t="s">
        <v>1128</v>
      </c>
      <c r="X96" s="3" t="s">
        <v>1129</v>
      </c>
      <c r="Y96" s="3" t="s">
        <v>1130</v>
      </c>
      <c r="Z96" s="8" t="s">
        <v>1131</v>
      </c>
    </row>
    <row r="97" customFormat="false" ht="26.85" hidden="false" customHeight="false" outlineLevel="0" collapsed="false">
      <c r="A97" s="7" t="s">
        <v>1132</v>
      </c>
      <c r="B97" s="7" t="s">
        <v>1133</v>
      </c>
      <c r="C97" s="7"/>
      <c r="D97" s="7" t="n">
        <v>2011</v>
      </c>
      <c r="E97" s="3" t="s">
        <v>1134</v>
      </c>
      <c r="F97" s="7" t="s">
        <v>140</v>
      </c>
      <c r="G97" s="3" t="s">
        <v>141</v>
      </c>
      <c r="H97" s="7" t="s">
        <v>87</v>
      </c>
      <c r="I97" s="7" t="s">
        <v>272</v>
      </c>
      <c r="J97" s="7" t="s">
        <v>273</v>
      </c>
      <c r="K97" s="7" t="s">
        <v>274</v>
      </c>
      <c r="L97" s="3" t="s">
        <v>275</v>
      </c>
      <c r="M97" s="3" t="s">
        <v>1135</v>
      </c>
      <c r="N97" s="3" t="s">
        <v>1136</v>
      </c>
      <c r="O97" s="3"/>
      <c r="P97" s="3"/>
      <c r="Q97" s="7"/>
      <c r="R97" s="7"/>
      <c r="S97" s="3"/>
      <c r="T97" s="3" t="s">
        <v>1137</v>
      </c>
      <c r="U97" s="7"/>
      <c r="V97" s="3" t="s">
        <v>140</v>
      </c>
      <c r="W97" s="3" t="s">
        <v>1138</v>
      </c>
      <c r="X97" s="3" t="s">
        <v>1139</v>
      </c>
      <c r="Y97" s="3" t="s">
        <v>1140</v>
      </c>
      <c r="Z97" s="8" t="s">
        <v>1141</v>
      </c>
    </row>
    <row r="98" customFormat="false" ht="26.85" hidden="false" customHeight="false" outlineLevel="0" collapsed="false">
      <c r="A98" s="7" t="s">
        <v>1142</v>
      </c>
      <c r="B98" s="7" t="s">
        <v>1143</v>
      </c>
      <c r="C98" s="7"/>
      <c r="D98" s="7" t="n">
        <v>2012</v>
      </c>
      <c r="E98" s="3" t="s">
        <v>1144</v>
      </c>
      <c r="F98" s="7" t="s">
        <v>85</v>
      </c>
      <c r="G98" s="3" t="s">
        <v>86</v>
      </c>
      <c r="H98" s="7" t="s">
        <v>87</v>
      </c>
      <c r="I98" s="7" t="s">
        <v>502</v>
      </c>
      <c r="J98" s="7" t="s">
        <v>503</v>
      </c>
      <c r="K98" s="7" t="s">
        <v>274</v>
      </c>
      <c r="L98" s="3" t="s">
        <v>1145</v>
      </c>
      <c r="M98" s="3" t="s">
        <v>1146</v>
      </c>
      <c r="N98" s="3"/>
      <c r="O98" s="3" t="s">
        <v>1147</v>
      </c>
      <c r="P98" s="3"/>
      <c r="Q98" s="7"/>
      <c r="R98" s="7"/>
      <c r="S98" s="3"/>
      <c r="T98" s="3" t="s">
        <v>1148</v>
      </c>
      <c r="U98" s="7"/>
      <c r="V98" s="3" t="s">
        <v>85</v>
      </c>
      <c r="W98" s="3" t="s">
        <v>1149</v>
      </c>
      <c r="X98" s="3" t="s">
        <v>1150</v>
      </c>
      <c r="Y98" s="3" t="s">
        <v>1151</v>
      </c>
      <c r="Z98" s="8" t="s">
        <v>1152</v>
      </c>
    </row>
    <row r="99" customFormat="false" ht="26.85" hidden="false" customHeight="false" outlineLevel="0" collapsed="false">
      <c r="A99" s="7" t="s">
        <v>1153</v>
      </c>
      <c r="B99" s="7" t="s">
        <v>1143</v>
      </c>
      <c r="C99" s="7"/>
      <c r="D99" s="7" t="n">
        <v>2012</v>
      </c>
      <c r="E99" s="3" t="s">
        <v>1154</v>
      </c>
      <c r="F99" s="7" t="s">
        <v>140</v>
      </c>
      <c r="G99" s="3" t="s">
        <v>141</v>
      </c>
      <c r="H99" s="7" t="s">
        <v>87</v>
      </c>
      <c r="I99" s="7" t="s">
        <v>666</v>
      </c>
      <c r="J99" s="7" t="s">
        <v>667</v>
      </c>
      <c r="K99" s="7" t="s">
        <v>668</v>
      </c>
      <c r="L99" s="3" t="s">
        <v>1155</v>
      </c>
      <c r="M99" s="3" t="s">
        <v>1156</v>
      </c>
      <c r="N99" s="3" t="s">
        <v>1157</v>
      </c>
      <c r="O99" s="3" t="s">
        <v>1158</v>
      </c>
      <c r="P99" s="3"/>
      <c r="Q99" s="7"/>
      <c r="R99" s="7"/>
      <c r="S99" s="3"/>
      <c r="T99" s="3" t="s">
        <v>1159</v>
      </c>
      <c r="U99" s="7"/>
      <c r="V99" s="3" t="s">
        <v>140</v>
      </c>
      <c r="W99" s="3" t="s">
        <v>1160</v>
      </c>
      <c r="X99" s="3" t="s">
        <v>1161</v>
      </c>
      <c r="Y99" s="3" t="s">
        <v>1162</v>
      </c>
      <c r="Z99" s="8" t="s">
        <v>1163</v>
      </c>
    </row>
    <row r="100" customFormat="false" ht="26.85" hidden="false" customHeight="false" outlineLevel="0" collapsed="false">
      <c r="A100" s="7" t="s">
        <v>1164</v>
      </c>
      <c r="B100" s="7" t="s">
        <v>1165</v>
      </c>
      <c r="C100" s="7"/>
      <c r="D100" s="7" t="n">
        <v>2012</v>
      </c>
      <c r="E100" s="3" t="s">
        <v>1166</v>
      </c>
      <c r="F100" s="7" t="s">
        <v>85</v>
      </c>
      <c r="G100" s="3" t="s">
        <v>86</v>
      </c>
      <c r="H100" s="7" t="s">
        <v>100</v>
      </c>
      <c r="I100" s="7" t="s">
        <v>331</v>
      </c>
      <c r="J100" s="7" t="s">
        <v>332</v>
      </c>
      <c r="K100" s="7" t="s">
        <v>490</v>
      </c>
      <c r="L100" s="3" t="s">
        <v>531</v>
      </c>
      <c r="M100" s="3" t="s">
        <v>1167</v>
      </c>
      <c r="N100" s="3"/>
      <c r="O100" s="3"/>
      <c r="P100" s="3"/>
      <c r="Q100" s="7"/>
      <c r="R100" s="7"/>
      <c r="S100" s="3"/>
      <c r="T100" s="3" t="s">
        <v>1168</v>
      </c>
      <c r="U100" s="7"/>
      <c r="V100" s="3" t="s">
        <v>85</v>
      </c>
      <c r="W100" s="3" t="s">
        <v>1169</v>
      </c>
      <c r="X100" s="3" t="s">
        <v>1170</v>
      </c>
      <c r="Y100" s="3" t="s">
        <v>1171</v>
      </c>
      <c r="Z100" s="8" t="s">
        <v>1172</v>
      </c>
    </row>
    <row r="101" customFormat="false" ht="26.85" hidden="false" customHeight="false" outlineLevel="0" collapsed="false">
      <c r="A101" s="7" t="s">
        <v>1173</v>
      </c>
      <c r="B101" s="7" t="s">
        <v>1174</v>
      </c>
      <c r="C101" s="7"/>
      <c r="D101" s="7" t="n">
        <v>2012</v>
      </c>
      <c r="E101" s="3" t="s">
        <v>1175</v>
      </c>
      <c r="F101" s="7" t="s">
        <v>140</v>
      </c>
      <c r="G101" s="3" t="s">
        <v>141</v>
      </c>
      <c r="H101" s="7" t="s">
        <v>87</v>
      </c>
      <c r="I101" s="7" t="s">
        <v>237</v>
      </c>
      <c r="J101" s="7" t="s">
        <v>238</v>
      </c>
      <c r="K101" s="7" t="s">
        <v>90</v>
      </c>
      <c r="L101" s="3" t="s">
        <v>1176</v>
      </c>
      <c r="M101" s="3" t="s">
        <v>1177</v>
      </c>
      <c r="N101" s="3"/>
      <c r="O101" s="3" t="s">
        <v>1178</v>
      </c>
      <c r="P101" s="3"/>
      <c r="Q101" s="7"/>
      <c r="R101" s="7"/>
      <c r="S101" s="3"/>
      <c r="T101" s="3" t="s">
        <v>1179</v>
      </c>
      <c r="U101" s="7"/>
      <c r="V101" s="3" t="s">
        <v>140</v>
      </c>
      <c r="W101" s="3" t="s">
        <v>1180</v>
      </c>
      <c r="X101" s="3" t="s">
        <v>1181</v>
      </c>
      <c r="Y101" s="3" t="s">
        <v>1182</v>
      </c>
      <c r="Z101" s="8" t="s">
        <v>1183</v>
      </c>
    </row>
    <row r="102" customFormat="false" ht="26.85" hidden="false" customHeight="false" outlineLevel="0" collapsed="false">
      <c r="A102" s="7" t="s">
        <v>1184</v>
      </c>
      <c r="B102" s="7" t="s">
        <v>1174</v>
      </c>
      <c r="C102" s="7"/>
      <c r="D102" s="7" t="n">
        <v>2012</v>
      </c>
      <c r="E102" s="3" t="s">
        <v>1185</v>
      </c>
      <c r="F102" s="7" t="s">
        <v>140</v>
      </c>
      <c r="G102" s="3" t="s">
        <v>141</v>
      </c>
      <c r="H102" s="7" t="s">
        <v>87</v>
      </c>
      <c r="I102" s="7" t="s">
        <v>666</v>
      </c>
      <c r="J102" s="7" t="s">
        <v>667</v>
      </c>
      <c r="K102" s="7" t="s">
        <v>668</v>
      </c>
      <c r="L102" s="3" t="s">
        <v>1155</v>
      </c>
      <c r="M102" s="3" t="s">
        <v>1186</v>
      </c>
      <c r="N102" s="3" t="s">
        <v>1187</v>
      </c>
      <c r="O102" s="3" t="s">
        <v>1188</v>
      </c>
      <c r="P102" s="3"/>
      <c r="Q102" s="7"/>
      <c r="R102" s="7"/>
      <c r="S102" s="3"/>
      <c r="T102" s="3" t="s">
        <v>1189</v>
      </c>
      <c r="U102" s="7"/>
      <c r="V102" s="3" t="s">
        <v>296</v>
      </c>
      <c r="W102" s="3" t="s">
        <v>1190</v>
      </c>
      <c r="X102" s="3" t="s">
        <v>1191</v>
      </c>
      <c r="Y102" s="3" t="s">
        <v>1192</v>
      </c>
      <c r="Z102" s="8" t="s">
        <v>1193</v>
      </c>
    </row>
    <row r="103" customFormat="false" ht="26.85" hidden="false" customHeight="false" outlineLevel="0" collapsed="false">
      <c r="A103" s="7" t="s">
        <v>1194</v>
      </c>
      <c r="B103" s="7" t="s">
        <v>1195</v>
      </c>
      <c r="C103" s="7"/>
      <c r="D103" s="7" t="n">
        <v>2012</v>
      </c>
      <c r="E103" s="3" t="s">
        <v>1196</v>
      </c>
      <c r="F103" s="7" t="s">
        <v>85</v>
      </c>
      <c r="G103" s="3" t="s">
        <v>86</v>
      </c>
      <c r="H103" s="7" t="s">
        <v>100</v>
      </c>
      <c r="I103" s="7" t="s">
        <v>703</v>
      </c>
      <c r="J103" s="7" t="s">
        <v>704</v>
      </c>
      <c r="K103" s="7" t="s">
        <v>490</v>
      </c>
      <c r="L103" s="3" t="s">
        <v>531</v>
      </c>
      <c r="M103" s="3" t="s">
        <v>1197</v>
      </c>
      <c r="N103" s="3" t="s">
        <v>1198</v>
      </c>
      <c r="O103" s="3"/>
      <c r="P103" s="3"/>
      <c r="Q103" s="7"/>
      <c r="R103" s="7"/>
      <c r="S103" s="3"/>
      <c r="T103" s="3" t="s">
        <v>1199</v>
      </c>
      <c r="U103" s="7"/>
      <c r="V103" s="3" t="s">
        <v>85</v>
      </c>
      <c r="W103" s="3" t="s">
        <v>1200</v>
      </c>
      <c r="X103" s="3" t="s">
        <v>1201</v>
      </c>
      <c r="Y103" s="3" t="s">
        <v>1202</v>
      </c>
      <c r="Z103" s="8" t="s">
        <v>1203</v>
      </c>
    </row>
    <row r="104" customFormat="false" ht="26.85" hidden="false" customHeight="false" outlineLevel="0" collapsed="false">
      <c r="A104" s="7" t="s">
        <v>1204</v>
      </c>
      <c r="B104" s="7" t="s">
        <v>1205</v>
      </c>
      <c r="C104" s="7"/>
      <c r="D104" s="7" t="n">
        <v>2012</v>
      </c>
      <c r="E104" s="3" t="s">
        <v>1206</v>
      </c>
      <c r="F104" s="7" t="s">
        <v>123</v>
      </c>
      <c r="G104" s="3" t="s">
        <v>124</v>
      </c>
      <c r="H104" s="7" t="s">
        <v>87</v>
      </c>
      <c r="I104" s="7" t="s">
        <v>781</v>
      </c>
      <c r="J104" s="7" t="s">
        <v>782</v>
      </c>
      <c r="K104" s="7" t="s">
        <v>90</v>
      </c>
      <c r="L104" s="3" t="s">
        <v>783</v>
      </c>
      <c r="M104" s="3" t="s">
        <v>1207</v>
      </c>
      <c r="N104" s="3" t="s">
        <v>1208</v>
      </c>
      <c r="O104" s="3" t="s">
        <v>1209</v>
      </c>
      <c r="P104" s="3" t="s">
        <v>1210</v>
      </c>
      <c r="Q104" s="7" t="s">
        <v>1211</v>
      </c>
      <c r="R104" s="7" t="n">
        <v>324</v>
      </c>
      <c r="S104" s="3" t="s">
        <v>1212</v>
      </c>
      <c r="T104" s="3" t="s">
        <v>1213</v>
      </c>
      <c r="U104" s="7"/>
      <c r="V104" s="3" t="s">
        <v>296</v>
      </c>
      <c r="W104" s="3" t="s">
        <v>1214</v>
      </c>
      <c r="X104" s="3" t="s">
        <v>1215</v>
      </c>
      <c r="Y104" s="3" t="s">
        <v>1216</v>
      </c>
      <c r="Z104" s="8" t="s">
        <v>1217</v>
      </c>
    </row>
    <row r="105" customFormat="false" ht="26.85" hidden="false" customHeight="false" outlineLevel="0" collapsed="false">
      <c r="A105" s="7" t="s">
        <v>1218</v>
      </c>
      <c r="B105" s="7" t="s">
        <v>1205</v>
      </c>
      <c r="C105" s="7"/>
      <c r="D105" s="7" t="n">
        <v>2012</v>
      </c>
      <c r="E105" s="3" t="s">
        <v>1219</v>
      </c>
      <c r="F105" s="7" t="s">
        <v>123</v>
      </c>
      <c r="G105" s="3" t="s">
        <v>124</v>
      </c>
      <c r="H105" s="7" t="s">
        <v>87</v>
      </c>
      <c r="I105" s="7" t="s">
        <v>751</v>
      </c>
      <c r="J105" s="7" t="s">
        <v>752</v>
      </c>
      <c r="K105" s="7" t="s">
        <v>274</v>
      </c>
      <c r="L105" s="3" t="s">
        <v>753</v>
      </c>
      <c r="M105" s="3" t="s">
        <v>1220</v>
      </c>
      <c r="N105" s="3" t="s">
        <v>1221</v>
      </c>
      <c r="O105" s="3"/>
      <c r="P105" s="3" t="s">
        <v>1222</v>
      </c>
      <c r="Q105" s="7" t="s">
        <v>1223</v>
      </c>
      <c r="R105" s="7" t="n">
        <v>354</v>
      </c>
      <c r="S105" s="3" t="s">
        <v>1224</v>
      </c>
      <c r="T105" s="3" t="s">
        <v>1225</v>
      </c>
      <c r="U105" s="7"/>
      <c r="V105" s="3" t="s">
        <v>296</v>
      </c>
      <c r="W105" s="3" t="s">
        <v>1226</v>
      </c>
      <c r="X105" s="3" t="s">
        <v>1227</v>
      </c>
      <c r="Y105" s="3" t="s">
        <v>1228</v>
      </c>
      <c r="Z105" s="8" t="s">
        <v>1229</v>
      </c>
    </row>
    <row r="106" customFormat="false" ht="26.85" hidden="false" customHeight="false" outlineLevel="0" collapsed="false">
      <c r="A106" s="7" t="s">
        <v>1230</v>
      </c>
      <c r="B106" s="7" t="s">
        <v>1231</v>
      </c>
      <c r="C106" s="7"/>
      <c r="D106" s="7" t="n">
        <v>2013</v>
      </c>
      <c r="E106" s="3" t="s">
        <v>1232</v>
      </c>
      <c r="F106" s="7" t="s">
        <v>140</v>
      </c>
      <c r="G106" s="3" t="s">
        <v>141</v>
      </c>
      <c r="H106" s="7" t="s">
        <v>87</v>
      </c>
      <c r="I106" s="7" t="s">
        <v>1233</v>
      </c>
      <c r="J106" s="7" t="s">
        <v>1234</v>
      </c>
      <c r="K106" s="7" t="s">
        <v>274</v>
      </c>
      <c r="L106" s="3"/>
      <c r="M106" s="3" t="s">
        <v>1235</v>
      </c>
      <c r="N106" s="3" t="s">
        <v>1236</v>
      </c>
      <c r="O106" s="3"/>
      <c r="P106" s="3"/>
      <c r="Q106" s="7"/>
      <c r="R106" s="7"/>
      <c r="S106" s="3"/>
      <c r="T106" s="3" t="s">
        <v>1237</v>
      </c>
      <c r="U106" s="7"/>
      <c r="V106" s="3" t="s">
        <v>140</v>
      </c>
      <c r="W106" s="3" t="s">
        <v>1238</v>
      </c>
      <c r="X106" s="3" t="s">
        <v>1239</v>
      </c>
      <c r="Y106" s="3" t="s">
        <v>1240</v>
      </c>
      <c r="Z106" s="8" t="s">
        <v>1241</v>
      </c>
    </row>
    <row r="107" customFormat="false" ht="26.85" hidden="false" customHeight="false" outlineLevel="0" collapsed="false">
      <c r="A107" s="7" t="s">
        <v>1242</v>
      </c>
      <c r="B107" s="7" t="s">
        <v>1243</v>
      </c>
      <c r="C107" s="7"/>
      <c r="D107" s="7" t="n">
        <v>2013</v>
      </c>
      <c r="E107" s="3" t="s">
        <v>1244</v>
      </c>
      <c r="F107" s="7" t="s">
        <v>140</v>
      </c>
      <c r="G107" s="3" t="s">
        <v>141</v>
      </c>
      <c r="H107" s="7" t="s">
        <v>100</v>
      </c>
      <c r="I107" s="7" t="s">
        <v>101</v>
      </c>
      <c r="J107" s="7" t="s">
        <v>102</v>
      </c>
      <c r="K107" s="7" t="s">
        <v>490</v>
      </c>
      <c r="L107" s="3" t="s">
        <v>1245</v>
      </c>
      <c r="M107" s="3" t="s">
        <v>1246</v>
      </c>
      <c r="N107" s="3" t="s">
        <v>1247</v>
      </c>
      <c r="O107" s="3"/>
      <c r="P107" s="3"/>
      <c r="Q107" s="7"/>
      <c r="R107" s="7"/>
      <c r="S107" s="3"/>
      <c r="T107" s="3" t="s">
        <v>1248</v>
      </c>
      <c r="U107" s="7"/>
      <c r="V107" s="3" t="s">
        <v>140</v>
      </c>
      <c r="W107" s="3" t="s">
        <v>1249</v>
      </c>
      <c r="X107" s="3" t="s">
        <v>1250</v>
      </c>
      <c r="Y107" s="3" t="s">
        <v>1251</v>
      </c>
      <c r="Z107" s="8" t="s">
        <v>1252</v>
      </c>
    </row>
    <row r="108" customFormat="false" ht="26.85" hidden="false" customHeight="false" outlineLevel="0" collapsed="false">
      <c r="A108" s="7" t="s">
        <v>1253</v>
      </c>
      <c r="B108" s="7" t="s">
        <v>1254</v>
      </c>
      <c r="C108" s="7"/>
      <c r="D108" s="7" t="n">
        <v>2013</v>
      </c>
      <c r="E108" s="3" t="s">
        <v>1255</v>
      </c>
      <c r="F108" s="7" t="s">
        <v>123</v>
      </c>
      <c r="G108" s="3" t="s">
        <v>124</v>
      </c>
      <c r="H108" s="7" t="s">
        <v>100</v>
      </c>
      <c r="I108" s="7" t="s">
        <v>781</v>
      </c>
      <c r="J108" s="7" t="s">
        <v>782</v>
      </c>
      <c r="K108" s="7" t="s">
        <v>490</v>
      </c>
      <c r="L108" s="3" t="s">
        <v>491</v>
      </c>
      <c r="M108" s="3" t="s">
        <v>1256</v>
      </c>
      <c r="N108" s="3"/>
      <c r="O108" s="3"/>
      <c r="P108" s="3" t="s">
        <v>1210</v>
      </c>
      <c r="Q108" s="7" t="s">
        <v>1211</v>
      </c>
      <c r="R108" s="7"/>
      <c r="S108" s="3" t="s">
        <v>1257</v>
      </c>
      <c r="T108" s="3" t="s">
        <v>1258</v>
      </c>
      <c r="U108" s="7"/>
      <c r="V108" s="3" t="s">
        <v>123</v>
      </c>
      <c r="W108" s="3" t="s">
        <v>1259</v>
      </c>
      <c r="X108" s="3" t="s">
        <v>1260</v>
      </c>
      <c r="Y108" s="3" t="s">
        <v>1261</v>
      </c>
      <c r="Z108" s="8" t="s">
        <v>1262</v>
      </c>
    </row>
    <row r="109" customFormat="false" ht="26.85" hidden="false" customHeight="false" outlineLevel="0" collapsed="false">
      <c r="A109" s="7" t="s">
        <v>1263</v>
      </c>
      <c r="B109" s="7" t="s">
        <v>1254</v>
      </c>
      <c r="C109" s="7"/>
      <c r="D109" s="7" t="n">
        <v>2013</v>
      </c>
      <c r="E109" s="3" t="s">
        <v>1264</v>
      </c>
      <c r="F109" s="7" t="s">
        <v>140</v>
      </c>
      <c r="G109" s="3" t="s">
        <v>141</v>
      </c>
      <c r="H109" s="7" t="s">
        <v>87</v>
      </c>
      <c r="I109" s="7" t="s">
        <v>164</v>
      </c>
      <c r="J109" s="7" t="s">
        <v>165</v>
      </c>
      <c r="K109" s="7" t="s">
        <v>166</v>
      </c>
      <c r="L109" s="3" t="s">
        <v>175</v>
      </c>
      <c r="M109" s="3" t="s">
        <v>1265</v>
      </c>
      <c r="N109" s="3"/>
      <c r="O109" s="3"/>
      <c r="P109" s="3"/>
      <c r="Q109" s="7"/>
      <c r="R109" s="7"/>
      <c r="S109" s="3"/>
      <c r="T109" s="3" t="s">
        <v>1266</v>
      </c>
      <c r="U109" s="7"/>
      <c r="V109" s="3" t="s">
        <v>140</v>
      </c>
      <c r="W109" s="3" t="s">
        <v>1267</v>
      </c>
      <c r="X109" s="3" t="s">
        <v>1268</v>
      </c>
      <c r="Y109" s="3" t="s">
        <v>1269</v>
      </c>
      <c r="Z109" s="8" t="s">
        <v>1270</v>
      </c>
    </row>
    <row r="110" customFormat="false" ht="26.85" hidden="false" customHeight="false" outlineLevel="0" collapsed="false">
      <c r="A110" s="7" t="s">
        <v>1271</v>
      </c>
      <c r="B110" s="7" t="s">
        <v>1254</v>
      </c>
      <c r="C110" s="7"/>
      <c r="D110" s="7" t="n">
        <v>2013</v>
      </c>
      <c r="E110" s="3" t="s">
        <v>1272</v>
      </c>
      <c r="F110" s="7" t="s">
        <v>140</v>
      </c>
      <c r="G110" s="3" t="s">
        <v>141</v>
      </c>
      <c r="H110" s="7" t="s">
        <v>87</v>
      </c>
      <c r="I110" s="7" t="s">
        <v>331</v>
      </c>
      <c r="J110" s="7" t="s">
        <v>332</v>
      </c>
      <c r="K110" s="7" t="s">
        <v>333</v>
      </c>
      <c r="L110" s="3" t="s">
        <v>1273</v>
      </c>
      <c r="M110" s="3" t="s">
        <v>1274</v>
      </c>
      <c r="N110" s="3" t="s">
        <v>1275</v>
      </c>
      <c r="O110" s="3"/>
      <c r="P110" s="3"/>
      <c r="Q110" s="7"/>
      <c r="R110" s="7"/>
      <c r="S110" s="3"/>
      <c r="T110" s="3" t="s">
        <v>1276</v>
      </c>
      <c r="U110" s="7"/>
      <c r="V110" s="3" t="s">
        <v>140</v>
      </c>
      <c r="W110" s="3" t="s">
        <v>1277</v>
      </c>
      <c r="X110" s="3" t="s">
        <v>1278</v>
      </c>
      <c r="Y110" s="3" t="s">
        <v>1279</v>
      </c>
      <c r="Z110" s="8" t="s">
        <v>1280</v>
      </c>
    </row>
    <row r="111" customFormat="false" ht="26.85" hidden="false" customHeight="false" outlineLevel="0" collapsed="false">
      <c r="A111" s="7" t="s">
        <v>1281</v>
      </c>
      <c r="B111" s="7" t="s">
        <v>1282</v>
      </c>
      <c r="C111" s="7"/>
      <c r="D111" s="7" t="n">
        <v>2013</v>
      </c>
      <c r="E111" s="3" t="s">
        <v>1283</v>
      </c>
      <c r="F111" s="7" t="s">
        <v>140</v>
      </c>
      <c r="G111" s="3" t="s">
        <v>141</v>
      </c>
      <c r="H111" s="7" t="s">
        <v>100</v>
      </c>
      <c r="I111" s="7" t="s">
        <v>101</v>
      </c>
      <c r="J111" s="7" t="s">
        <v>102</v>
      </c>
      <c r="K111" s="7" t="s">
        <v>490</v>
      </c>
      <c r="L111" s="3" t="s">
        <v>1284</v>
      </c>
      <c r="M111" s="3" t="s">
        <v>1285</v>
      </c>
      <c r="N111" s="3"/>
      <c r="O111" s="3" t="s">
        <v>1286</v>
      </c>
      <c r="P111" s="3"/>
      <c r="Q111" s="7"/>
      <c r="R111" s="7"/>
      <c r="S111" s="3"/>
      <c r="T111" s="3" t="s">
        <v>1287</v>
      </c>
      <c r="U111" s="7"/>
      <c r="V111" s="3" t="s">
        <v>140</v>
      </c>
      <c r="W111" s="3" t="s">
        <v>1288</v>
      </c>
      <c r="X111" s="3" t="s">
        <v>1289</v>
      </c>
      <c r="Y111" s="3" t="s">
        <v>1290</v>
      </c>
      <c r="Z111" s="8" t="s">
        <v>1291</v>
      </c>
    </row>
    <row r="112" customFormat="false" ht="26.85" hidden="false" customHeight="false" outlineLevel="0" collapsed="false">
      <c r="A112" s="7" t="s">
        <v>1292</v>
      </c>
      <c r="B112" s="7" t="s">
        <v>1282</v>
      </c>
      <c r="C112" s="7"/>
      <c r="D112" s="7" t="n">
        <v>2013</v>
      </c>
      <c r="E112" s="3" t="s">
        <v>1293</v>
      </c>
      <c r="F112" s="7" t="s">
        <v>123</v>
      </c>
      <c r="G112" s="3" t="s">
        <v>124</v>
      </c>
      <c r="H112" s="7" t="s">
        <v>87</v>
      </c>
      <c r="I112" s="7" t="s">
        <v>317</v>
      </c>
      <c r="J112" s="7" t="s">
        <v>318</v>
      </c>
      <c r="K112" s="7" t="s">
        <v>90</v>
      </c>
      <c r="L112" s="3" t="s">
        <v>716</v>
      </c>
      <c r="M112" s="3" t="s">
        <v>1294</v>
      </c>
      <c r="N112" s="3" t="s">
        <v>1295</v>
      </c>
      <c r="O112" s="3" t="s">
        <v>1296</v>
      </c>
      <c r="P112" s="3" t="s">
        <v>1297</v>
      </c>
      <c r="Q112" s="7" t="s">
        <v>1211</v>
      </c>
      <c r="R112" s="7" t="n">
        <v>177</v>
      </c>
      <c r="S112" s="3" t="s">
        <v>1298</v>
      </c>
      <c r="T112" s="3" t="s">
        <v>1299</v>
      </c>
      <c r="U112" s="7"/>
      <c r="V112" s="3" t="s">
        <v>296</v>
      </c>
      <c r="W112" s="3" t="s">
        <v>1300</v>
      </c>
      <c r="X112" s="3" t="s">
        <v>1301</v>
      </c>
      <c r="Y112" s="3" t="s">
        <v>1302</v>
      </c>
      <c r="Z112" s="8" t="s">
        <v>1303</v>
      </c>
    </row>
    <row r="113" customFormat="false" ht="26.85" hidden="false" customHeight="false" outlineLevel="0" collapsed="false">
      <c r="A113" s="7" t="s">
        <v>1304</v>
      </c>
      <c r="B113" s="7" t="s">
        <v>1282</v>
      </c>
      <c r="C113" s="7"/>
      <c r="D113" s="7" t="n">
        <v>2013</v>
      </c>
      <c r="E113" s="3" t="s">
        <v>1305</v>
      </c>
      <c r="F113" s="7" t="s">
        <v>123</v>
      </c>
      <c r="G113" s="3" t="s">
        <v>124</v>
      </c>
      <c r="H113" s="7" t="s">
        <v>87</v>
      </c>
      <c r="I113" s="7" t="s">
        <v>272</v>
      </c>
      <c r="J113" s="7" t="s">
        <v>273</v>
      </c>
      <c r="K113" s="7" t="s">
        <v>274</v>
      </c>
      <c r="L113" s="3" t="s">
        <v>275</v>
      </c>
      <c r="M113" s="3" t="s">
        <v>1306</v>
      </c>
      <c r="N113" s="3"/>
      <c r="O113" s="3" t="s">
        <v>1307</v>
      </c>
      <c r="P113" s="3" t="s">
        <v>1308</v>
      </c>
      <c r="Q113" s="7" t="s">
        <v>1223</v>
      </c>
      <c r="R113" s="7"/>
      <c r="S113" s="3" t="s">
        <v>1309</v>
      </c>
      <c r="T113" s="3" t="s">
        <v>1310</v>
      </c>
      <c r="U113" s="7"/>
      <c r="V113" s="3" t="s">
        <v>296</v>
      </c>
      <c r="W113" s="3" t="s">
        <v>1311</v>
      </c>
      <c r="X113" s="3" t="s">
        <v>1312</v>
      </c>
      <c r="Y113" s="3" t="s">
        <v>1313</v>
      </c>
      <c r="Z113" s="8" t="s">
        <v>1314</v>
      </c>
    </row>
    <row r="114" customFormat="false" ht="26.85" hidden="false" customHeight="false" outlineLevel="0" collapsed="false">
      <c r="A114" s="7" t="s">
        <v>1315</v>
      </c>
      <c r="B114" s="7" t="s">
        <v>1316</v>
      </c>
      <c r="C114" s="7"/>
      <c r="D114" s="7" t="n">
        <v>2013</v>
      </c>
      <c r="E114" s="3" t="s">
        <v>1317</v>
      </c>
      <c r="F114" s="7" t="s">
        <v>140</v>
      </c>
      <c r="G114" s="3" t="s">
        <v>141</v>
      </c>
      <c r="H114" s="7" t="s">
        <v>87</v>
      </c>
      <c r="I114" s="7" t="s">
        <v>382</v>
      </c>
      <c r="J114" s="7" t="s">
        <v>383</v>
      </c>
      <c r="K114" s="7" t="s">
        <v>274</v>
      </c>
      <c r="L114" s="3" t="s">
        <v>1318</v>
      </c>
      <c r="M114" s="3" t="s">
        <v>1319</v>
      </c>
      <c r="N114" s="3" t="s">
        <v>1320</v>
      </c>
      <c r="O114" s="3" t="s">
        <v>1321</v>
      </c>
      <c r="P114" s="3"/>
      <c r="Q114" s="7"/>
      <c r="R114" s="7"/>
      <c r="S114" s="3"/>
      <c r="T114" s="3" t="s">
        <v>1322</v>
      </c>
      <c r="U114" s="7"/>
      <c r="V114" s="3" t="s">
        <v>140</v>
      </c>
      <c r="W114" s="3" t="s">
        <v>1323</v>
      </c>
      <c r="X114" s="3" t="s">
        <v>1324</v>
      </c>
      <c r="Y114" s="3" t="s">
        <v>1325</v>
      </c>
      <c r="Z114" s="8" t="s">
        <v>1326</v>
      </c>
    </row>
    <row r="115" customFormat="false" ht="26.85" hidden="false" customHeight="false" outlineLevel="0" collapsed="false">
      <c r="A115" s="7" t="s">
        <v>1327</v>
      </c>
      <c r="B115" s="7" t="s">
        <v>1328</v>
      </c>
      <c r="C115" s="7"/>
      <c r="D115" s="7" t="n">
        <v>2013</v>
      </c>
      <c r="E115" s="3" t="s">
        <v>1329</v>
      </c>
      <c r="F115" s="7" t="s">
        <v>140</v>
      </c>
      <c r="G115" s="3" t="s">
        <v>141</v>
      </c>
      <c r="H115" s="7" t="s">
        <v>100</v>
      </c>
      <c r="I115" s="7" t="s">
        <v>101</v>
      </c>
      <c r="J115" s="7" t="s">
        <v>102</v>
      </c>
      <c r="K115" s="7" t="s">
        <v>490</v>
      </c>
      <c r="L115" s="3" t="s">
        <v>1330</v>
      </c>
      <c r="M115" s="3" t="s">
        <v>1331</v>
      </c>
      <c r="N115" s="3" t="s">
        <v>1332</v>
      </c>
      <c r="O115" s="3" t="s">
        <v>1333</v>
      </c>
      <c r="P115" s="3"/>
      <c r="Q115" s="7"/>
      <c r="R115" s="7"/>
      <c r="S115" s="3"/>
      <c r="T115" s="3" t="s">
        <v>1334</v>
      </c>
      <c r="U115" s="7"/>
      <c r="V115" s="3" t="s">
        <v>140</v>
      </c>
      <c r="W115" s="3" t="s">
        <v>1335</v>
      </c>
      <c r="X115" s="3" t="s">
        <v>1336</v>
      </c>
      <c r="Y115" s="3" t="s">
        <v>1337</v>
      </c>
      <c r="Z115" s="8" t="s">
        <v>1338</v>
      </c>
    </row>
    <row r="116" customFormat="false" ht="26.85" hidden="false" customHeight="false" outlineLevel="0" collapsed="false">
      <c r="A116" s="7" t="s">
        <v>1339</v>
      </c>
      <c r="B116" s="7" t="s">
        <v>1328</v>
      </c>
      <c r="C116" s="7"/>
      <c r="D116" s="7" t="n">
        <v>2013</v>
      </c>
      <c r="E116" s="3" t="s">
        <v>1340</v>
      </c>
      <c r="F116" s="7" t="s">
        <v>85</v>
      </c>
      <c r="G116" s="3" t="s">
        <v>86</v>
      </c>
      <c r="H116" s="7" t="s">
        <v>87</v>
      </c>
      <c r="I116" s="7" t="s">
        <v>1341</v>
      </c>
      <c r="J116" s="7" t="s">
        <v>1342</v>
      </c>
      <c r="K116" s="7" t="s">
        <v>274</v>
      </c>
      <c r="L116" s="3"/>
      <c r="M116" s="3" t="s">
        <v>1343</v>
      </c>
      <c r="N116" s="3"/>
      <c r="O116" s="3" t="s">
        <v>1344</v>
      </c>
      <c r="P116" s="3"/>
      <c r="Q116" s="7"/>
      <c r="R116" s="7"/>
      <c r="S116" s="3"/>
      <c r="T116" s="3" t="s">
        <v>1345</v>
      </c>
      <c r="U116" s="7"/>
      <c r="V116" s="3" t="s">
        <v>85</v>
      </c>
      <c r="W116" s="3" t="s">
        <v>1346</v>
      </c>
      <c r="X116" s="3" t="s">
        <v>1347</v>
      </c>
      <c r="Y116" s="3" t="s">
        <v>1348</v>
      </c>
      <c r="Z116" s="8" t="s">
        <v>1349</v>
      </c>
    </row>
    <row r="117" customFormat="false" ht="26.85" hidden="false" customHeight="false" outlineLevel="0" collapsed="false">
      <c r="A117" s="7" t="s">
        <v>1350</v>
      </c>
      <c r="B117" s="7" t="s">
        <v>1328</v>
      </c>
      <c r="C117" s="7"/>
      <c r="D117" s="7" t="n">
        <v>2013</v>
      </c>
      <c r="E117" s="3" t="s">
        <v>1351</v>
      </c>
      <c r="F117" s="7" t="s">
        <v>85</v>
      </c>
      <c r="G117" s="3" t="s">
        <v>86</v>
      </c>
      <c r="H117" s="7" t="s">
        <v>87</v>
      </c>
      <c r="I117" s="7" t="s">
        <v>1341</v>
      </c>
      <c r="J117" s="7" t="s">
        <v>1342</v>
      </c>
      <c r="K117" s="7" t="s">
        <v>274</v>
      </c>
      <c r="L117" s="3"/>
      <c r="M117" s="3" t="s">
        <v>1352</v>
      </c>
      <c r="N117" s="3"/>
      <c r="O117" s="3" t="s">
        <v>1353</v>
      </c>
      <c r="P117" s="3"/>
      <c r="Q117" s="7"/>
      <c r="R117" s="7"/>
      <c r="S117" s="3"/>
      <c r="T117" s="3" t="s">
        <v>1354</v>
      </c>
      <c r="U117" s="7"/>
      <c r="V117" s="3" t="s">
        <v>85</v>
      </c>
      <c r="W117" s="3" t="s">
        <v>1355</v>
      </c>
      <c r="X117" s="3" t="s">
        <v>1356</v>
      </c>
      <c r="Y117" s="3" t="s">
        <v>1357</v>
      </c>
      <c r="Z117" s="8" t="s">
        <v>1358</v>
      </c>
    </row>
    <row r="118" customFormat="false" ht="26.85" hidden="false" customHeight="false" outlineLevel="0" collapsed="false">
      <c r="A118" s="7" t="s">
        <v>1359</v>
      </c>
      <c r="B118" s="7" t="s">
        <v>1328</v>
      </c>
      <c r="C118" s="7"/>
      <c r="D118" s="7" t="n">
        <v>2013</v>
      </c>
      <c r="E118" s="3" t="s">
        <v>1360</v>
      </c>
      <c r="F118" s="7" t="s">
        <v>85</v>
      </c>
      <c r="G118" s="3" t="s">
        <v>86</v>
      </c>
      <c r="H118" s="7" t="s">
        <v>100</v>
      </c>
      <c r="I118" s="7" t="s">
        <v>1341</v>
      </c>
      <c r="J118" s="7" t="s">
        <v>1342</v>
      </c>
      <c r="K118" s="7" t="s">
        <v>490</v>
      </c>
      <c r="L118" s="3" t="s">
        <v>531</v>
      </c>
      <c r="M118" s="3" t="s">
        <v>1361</v>
      </c>
      <c r="N118" s="3"/>
      <c r="O118" s="3"/>
      <c r="P118" s="3"/>
      <c r="Q118" s="7"/>
      <c r="R118" s="7"/>
      <c r="S118" s="3"/>
      <c r="T118" s="3" t="s">
        <v>1362</v>
      </c>
      <c r="U118" s="7"/>
      <c r="V118" s="3" t="s">
        <v>85</v>
      </c>
      <c r="W118" s="3" t="s">
        <v>1363</v>
      </c>
      <c r="X118" s="3" t="s">
        <v>1364</v>
      </c>
      <c r="Y118" s="3" t="s">
        <v>1365</v>
      </c>
      <c r="Z118" s="8" t="s">
        <v>1366</v>
      </c>
    </row>
    <row r="119" customFormat="false" ht="52.2" hidden="false" customHeight="false" outlineLevel="0" collapsed="false">
      <c r="A119" s="7" t="s">
        <v>1367</v>
      </c>
      <c r="B119" s="7" t="s">
        <v>1368</v>
      </c>
      <c r="C119" s="7"/>
      <c r="D119" s="7" t="n">
        <v>2013</v>
      </c>
      <c r="E119" s="3" t="s">
        <v>1369</v>
      </c>
      <c r="F119" s="7" t="s">
        <v>123</v>
      </c>
      <c r="G119" s="3" t="s">
        <v>124</v>
      </c>
      <c r="H119" s="7" t="s">
        <v>100</v>
      </c>
      <c r="I119" s="7" t="s">
        <v>101</v>
      </c>
      <c r="J119" s="7" t="s">
        <v>102</v>
      </c>
      <c r="K119" s="7" t="s">
        <v>490</v>
      </c>
      <c r="L119" s="3" t="s">
        <v>1370</v>
      </c>
      <c r="M119" s="3" t="s">
        <v>1371</v>
      </c>
      <c r="N119" s="3" t="s">
        <v>1372</v>
      </c>
      <c r="O119" s="3"/>
      <c r="P119" s="3" t="s">
        <v>1373</v>
      </c>
      <c r="Q119" s="7" t="s">
        <v>1374</v>
      </c>
      <c r="R119" s="7" t="n">
        <v>276</v>
      </c>
      <c r="S119" s="3" t="s">
        <v>1375</v>
      </c>
      <c r="T119" s="3" t="s">
        <v>1376</v>
      </c>
      <c r="U119" s="7"/>
      <c r="V119" s="3" t="s">
        <v>296</v>
      </c>
      <c r="W119" s="3" t="s">
        <v>1377</v>
      </c>
      <c r="X119" s="3" t="s">
        <v>1378</v>
      </c>
      <c r="Y119" s="3" t="s">
        <v>1379</v>
      </c>
      <c r="Z119" s="8" t="s">
        <v>1380</v>
      </c>
    </row>
    <row r="120" customFormat="false" ht="26.85" hidden="false" customHeight="false" outlineLevel="0" collapsed="false">
      <c r="A120" s="7" t="s">
        <v>1381</v>
      </c>
      <c r="B120" s="7" t="s">
        <v>1382</v>
      </c>
      <c r="C120" s="7"/>
      <c r="D120" s="7" t="n">
        <v>2013</v>
      </c>
      <c r="E120" s="3" t="s">
        <v>1383</v>
      </c>
      <c r="F120" s="7" t="s">
        <v>140</v>
      </c>
      <c r="G120" s="3" t="s">
        <v>141</v>
      </c>
      <c r="H120" s="7" t="s">
        <v>87</v>
      </c>
      <c r="I120" s="7" t="s">
        <v>382</v>
      </c>
      <c r="J120" s="7" t="s">
        <v>383</v>
      </c>
      <c r="K120" s="7" t="s">
        <v>274</v>
      </c>
      <c r="L120" s="3" t="s">
        <v>1318</v>
      </c>
      <c r="M120" s="3" t="s">
        <v>1384</v>
      </c>
      <c r="N120" s="3" t="s">
        <v>1385</v>
      </c>
      <c r="O120" s="3" t="s">
        <v>1386</v>
      </c>
      <c r="P120" s="3"/>
      <c r="Q120" s="7"/>
      <c r="R120" s="7"/>
      <c r="S120" s="3"/>
      <c r="T120" s="3" t="s">
        <v>1387</v>
      </c>
      <c r="U120" s="7"/>
      <c r="V120" s="3" t="s">
        <v>140</v>
      </c>
      <c r="W120" s="3" t="s">
        <v>1388</v>
      </c>
      <c r="X120" s="3" t="s">
        <v>1389</v>
      </c>
      <c r="Y120" s="3" t="s">
        <v>1325</v>
      </c>
      <c r="Z120" s="8" t="s">
        <v>1326</v>
      </c>
    </row>
    <row r="121" customFormat="false" ht="26.85" hidden="false" customHeight="false" outlineLevel="0" collapsed="false">
      <c r="A121" s="7" t="s">
        <v>1390</v>
      </c>
      <c r="B121" s="7" t="s">
        <v>1391</v>
      </c>
      <c r="C121" s="7"/>
      <c r="D121" s="7" t="n">
        <v>2013</v>
      </c>
      <c r="E121" s="3" t="s">
        <v>1392</v>
      </c>
      <c r="F121" s="7" t="s">
        <v>123</v>
      </c>
      <c r="G121" s="3" t="s">
        <v>124</v>
      </c>
      <c r="H121" s="7" t="s">
        <v>100</v>
      </c>
      <c r="I121" s="7" t="s">
        <v>101</v>
      </c>
      <c r="J121" s="7" t="s">
        <v>102</v>
      </c>
      <c r="K121" s="7" t="s">
        <v>490</v>
      </c>
      <c r="L121" s="3" t="s">
        <v>1393</v>
      </c>
      <c r="M121" s="3" t="s">
        <v>1394</v>
      </c>
      <c r="N121" s="3" t="s">
        <v>1395</v>
      </c>
      <c r="O121" s="3"/>
      <c r="P121" s="3" t="s">
        <v>1373</v>
      </c>
      <c r="Q121" s="7" t="s">
        <v>1374</v>
      </c>
      <c r="R121" s="7" t="n">
        <v>194</v>
      </c>
      <c r="S121" s="3" t="s">
        <v>1396</v>
      </c>
      <c r="T121" s="3" t="s">
        <v>1397</v>
      </c>
      <c r="U121" s="7"/>
      <c r="V121" s="3" t="s">
        <v>123</v>
      </c>
      <c r="W121" s="3" t="s">
        <v>1398</v>
      </c>
      <c r="X121" s="3" t="s">
        <v>1399</v>
      </c>
      <c r="Y121" s="3" t="s">
        <v>1400</v>
      </c>
      <c r="Z121" s="8" t="s">
        <v>1401</v>
      </c>
    </row>
    <row r="122" customFormat="false" ht="26.85" hidden="false" customHeight="false" outlineLevel="0" collapsed="false">
      <c r="A122" s="7" t="s">
        <v>1402</v>
      </c>
      <c r="B122" s="7" t="s">
        <v>1403</v>
      </c>
      <c r="C122" s="7"/>
      <c r="D122" s="7" t="n">
        <v>2013</v>
      </c>
      <c r="E122" s="3" t="s">
        <v>1404</v>
      </c>
      <c r="F122" s="7" t="s">
        <v>85</v>
      </c>
      <c r="G122" s="3" t="s">
        <v>86</v>
      </c>
      <c r="H122" s="7" t="s">
        <v>87</v>
      </c>
      <c r="I122" s="7" t="s">
        <v>164</v>
      </c>
      <c r="J122" s="7" t="s">
        <v>165</v>
      </c>
      <c r="K122" s="7" t="s">
        <v>166</v>
      </c>
      <c r="L122" s="3"/>
      <c r="M122" s="3" t="s">
        <v>1405</v>
      </c>
      <c r="N122" s="3"/>
      <c r="O122" s="3"/>
      <c r="P122" s="3"/>
      <c r="Q122" s="7"/>
      <c r="R122" s="7"/>
      <c r="S122" s="3"/>
      <c r="T122" s="3" t="s">
        <v>1406</v>
      </c>
      <c r="U122" s="7"/>
      <c r="V122" s="3" t="s">
        <v>85</v>
      </c>
      <c r="W122" s="3" t="s">
        <v>1407</v>
      </c>
      <c r="X122" s="3" t="s">
        <v>1408</v>
      </c>
      <c r="Y122" s="3" t="s">
        <v>1409</v>
      </c>
      <c r="Z122" s="8" t="s">
        <v>1410</v>
      </c>
    </row>
    <row r="123" customFormat="false" ht="26.85" hidden="false" customHeight="false" outlineLevel="0" collapsed="false">
      <c r="A123" s="7" t="s">
        <v>1411</v>
      </c>
      <c r="B123" s="7" t="s">
        <v>1403</v>
      </c>
      <c r="C123" s="7"/>
      <c r="D123" s="7" t="n">
        <v>2013</v>
      </c>
      <c r="E123" s="3" t="s">
        <v>1412</v>
      </c>
      <c r="F123" s="7" t="s">
        <v>140</v>
      </c>
      <c r="G123" s="3" t="s">
        <v>141</v>
      </c>
      <c r="H123" s="7" t="s">
        <v>87</v>
      </c>
      <c r="I123" s="7" t="s">
        <v>941</v>
      </c>
      <c r="J123" s="7" t="s">
        <v>942</v>
      </c>
      <c r="K123" s="7" t="s">
        <v>1413</v>
      </c>
      <c r="L123" s="3" t="s">
        <v>1414</v>
      </c>
      <c r="M123" s="3" t="s">
        <v>1415</v>
      </c>
      <c r="N123" s="3" t="s">
        <v>1416</v>
      </c>
      <c r="O123" s="3" t="s">
        <v>1417</v>
      </c>
      <c r="P123" s="3"/>
      <c r="Q123" s="7"/>
      <c r="R123" s="7"/>
      <c r="S123" s="3"/>
      <c r="T123" s="3" t="s">
        <v>1418</v>
      </c>
      <c r="U123" s="7"/>
      <c r="V123" s="3" t="s">
        <v>140</v>
      </c>
      <c r="W123" s="3" t="s">
        <v>1419</v>
      </c>
      <c r="X123" s="3" t="s">
        <v>1420</v>
      </c>
      <c r="Y123" s="3" t="s">
        <v>1421</v>
      </c>
      <c r="Z123" s="8" t="s">
        <v>1422</v>
      </c>
    </row>
    <row r="124" customFormat="false" ht="26.85" hidden="false" customHeight="false" outlineLevel="0" collapsed="false">
      <c r="A124" s="7" t="s">
        <v>1423</v>
      </c>
      <c r="B124" s="7" t="s">
        <v>1223</v>
      </c>
      <c r="C124" s="7"/>
      <c r="D124" s="7" t="n">
        <v>2013</v>
      </c>
      <c r="E124" s="3" t="s">
        <v>1424</v>
      </c>
      <c r="F124" s="7" t="s">
        <v>85</v>
      </c>
      <c r="G124" s="3" t="s">
        <v>86</v>
      </c>
      <c r="H124" s="7" t="s">
        <v>100</v>
      </c>
      <c r="I124" s="7" t="s">
        <v>1341</v>
      </c>
      <c r="J124" s="7" t="s">
        <v>1342</v>
      </c>
      <c r="K124" s="7" t="s">
        <v>490</v>
      </c>
      <c r="L124" s="3" t="s">
        <v>1425</v>
      </c>
      <c r="M124" s="3" t="s">
        <v>1426</v>
      </c>
      <c r="N124" s="3"/>
      <c r="O124" s="3" t="s">
        <v>1427</v>
      </c>
      <c r="P124" s="3"/>
      <c r="Q124" s="7"/>
      <c r="R124" s="7"/>
      <c r="S124" s="3"/>
      <c r="T124" s="3" t="s">
        <v>1428</v>
      </c>
      <c r="U124" s="7"/>
      <c r="V124" s="3" t="s">
        <v>85</v>
      </c>
      <c r="W124" s="3" t="s">
        <v>1429</v>
      </c>
      <c r="X124" s="3" t="s">
        <v>1430</v>
      </c>
      <c r="Y124" s="3" t="s">
        <v>1431</v>
      </c>
      <c r="Z124" s="8" t="s">
        <v>1432</v>
      </c>
    </row>
    <row r="125" customFormat="false" ht="26.85" hidden="false" customHeight="false" outlineLevel="0" collapsed="false">
      <c r="A125" s="7" t="s">
        <v>1433</v>
      </c>
      <c r="B125" s="7" t="s">
        <v>1434</v>
      </c>
      <c r="C125" s="7"/>
      <c r="D125" s="7" t="n">
        <v>2014</v>
      </c>
      <c r="E125" s="3" t="s">
        <v>1435</v>
      </c>
      <c r="F125" s="7" t="s">
        <v>123</v>
      </c>
      <c r="G125" s="3" t="s">
        <v>124</v>
      </c>
      <c r="H125" s="7" t="s">
        <v>100</v>
      </c>
      <c r="I125" s="7" t="s">
        <v>101</v>
      </c>
      <c r="J125" s="7" t="s">
        <v>102</v>
      </c>
      <c r="K125" s="7" t="s">
        <v>490</v>
      </c>
      <c r="L125" s="3" t="s">
        <v>1436</v>
      </c>
      <c r="M125" s="3" t="s">
        <v>1437</v>
      </c>
      <c r="N125" s="3"/>
      <c r="O125" s="3" t="s">
        <v>1438</v>
      </c>
      <c r="P125" s="3" t="s">
        <v>1373</v>
      </c>
      <c r="Q125" s="7" t="s">
        <v>1374</v>
      </c>
      <c r="R125" s="7" t="n">
        <v>67</v>
      </c>
      <c r="S125" s="3" t="s">
        <v>1396</v>
      </c>
      <c r="T125" s="3" t="s">
        <v>1439</v>
      </c>
      <c r="U125" s="7"/>
      <c r="V125" s="3" t="s">
        <v>296</v>
      </c>
      <c r="W125" s="3" t="s">
        <v>1440</v>
      </c>
      <c r="X125" s="3" t="s">
        <v>1441</v>
      </c>
      <c r="Y125" s="3" t="s">
        <v>1442</v>
      </c>
      <c r="Z125" s="8" t="s">
        <v>1443</v>
      </c>
    </row>
    <row r="126" customFormat="false" ht="26.85" hidden="false" customHeight="false" outlineLevel="0" collapsed="false">
      <c r="A126" s="7" t="s">
        <v>1444</v>
      </c>
      <c r="B126" s="7" t="s">
        <v>1434</v>
      </c>
      <c r="C126" s="7"/>
      <c r="D126" s="7" t="n">
        <v>2014</v>
      </c>
      <c r="E126" s="3" t="s">
        <v>1445</v>
      </c>
      <c r="F126" s="7" t="s">
        <v>123</v>
      </c>
      <c r="G126" s="3" t="s">
        <v>124</v>
      </c>
      <c r="H126" s="7" t="s">
        <v>87</v>
      </c>
      <c r="I126" s="7" t="s">
        <v>502</v>
      </c>
      <c r="J126" s="7" t="s">
        <v>503</v>
      </c>
      <c r="K126" s="7" t="s">
        <v>274</v>
      </c>
      <c r="L126" s="3" t="s">
        <v>1145</v>
      </c>
      <c r="M126" s="3" t="s">
        <v>1446</v>
      </c>
      <c r="N126" s="3"/>
      <c r="O126" s="3" t="s">
        <v>1447</v>
      </c>
      <c r="P126" s="3" t="s">
        <v>1448</v>
      </c>
      <c r="Q126" s="7" t="s">
        <v>1449</v>
      </c>
      <c r="R126" s="7"/>
      <c r="S126" s="3" t="s">
        <v>1450</v>
      </c>
      <c r="T126" s="3" t="s">
        <v>1451</v>
      </c>
      <c r="U126" s="7"/>
      <c r="V126" s="3" t="s">
        <v>296</v>
      </c>
      <c r="W126" s="3" t="s">
        <v>1452</v>
      </c>
      <c r="X126" s="3" t="s">
        <v>1453</v>
      </c>
      <c r="Y126" s="3" t="s">
        <v>1454</v>
      </c>
      <c r="Z126" s="8" t="s">
        <v>1455</v>
      </c>
    </row>
    <row r="127" customFormat="false" ht="26.85" hidden="false" customHeight="false" outlineLevel="0" collapsed="false">
      <c r="A127" s="7" t="s">
        <v>1456</v>
      </c>
      <c r="B127" s="7" t="s">
        <v>1457</v>
      </c>
      <c r="C127" s="7"/>
      <c r="D127" s="7" t="n">
        <v>2014</v>
      </c>
      <c r="E127" s="3" t="s">
        <v>1458</v>
      </c>
      <c r="F127" s="7" t="s">
        <v>123</v>
      </c>
      <c r="G127" s="3" t="s">
        <v>124</v>
      </c>
      <c r="H127" s="7" t="s">
        <v>100</v>
      </c>
      <c r="I127" s="7" t="s">
        <v>101</v>
      </c>
      <c r="J127" s="7" t="s">
        <v>102</v>
      </c>
      <c r="K127" s="7" t="s">
        <v>490</v>
      </c>
      <c r="L127" s="3" t="s">
        <v>491</v>
      </c>
      <c r="M127" s="3" t="s">
        <v>1459</v>
      </c>
      <c r="N127" s="3" t="s">
        <v>1460</v>
      </c>
      <c r="O127" s="3" t="s">
        <v>1461</v>
      </c>
      <c r="P127" s="3" t="s">
        <v>1373</v>
      </c>
      <c r="Q127" s="7" t="s">
        <v>1374</v>
      </c>
      <c r="R127" s="7" t="n">
        <v>49</v>
      </c>
      <c r="S127" s="3" t="s">
        <v>1375</v>
      </c>
      <c r="T127" s="3" t="s">
        <v>1462</v>
      </c>
      <c r="U127" s="7"/>
      <c r="V127" s="3" t="s">
        <v>296</v>
      </c>
      <c r="W127" s="3" t="s">
        <v>1463</v>
      </c>
      <c r="X127" s="3" t="s">
        <v>1464</v>
      </c>
      <c r="Y127" s="3" t="s">
        <v>1465</v>
      </c>
      <c r="Z127" s="8" t="s">
        <v>1466</v>
      </c>
    </row>
    <row r="128" customFormat="false" ht="26.85" hidden="false" customHeight="false" outlineLevel="0" collapsed="false">
      <c r="A128" s="7" t="s">
        <v>1467</v>
      </c>
      <c r="B128" s="7" t="s">
        <v>1457</v>
      </c>
      <c r="C128" s="7"/>
      <c r="D128" s="7" t="n">
        <v>2014</v>
      </c>
      <c r="E128" s="3" t="s">
        <v>1468</v>
      </c>
      <c r="F128" s="7" t="s">
        <v>123</v>
      </c>
      <c r="G128" s="3" t="s">
        <v>124</v>
      </c>
      <c r="H128" s="7" t="s">
        <v>100</v>
      </c>
      <c r="I128" s="7" t="s">
        <v>101</v>
      </c>
      <c r="J128" s="7" t="s">
        <v>102</v>
      </c>
      <c r="K128" s="7" t="s">
        <v>490</v>
      </c>
      <c r="L128" s="3" t="s">
        <v>491</v>
      </c>
      <c r="M128" s="3" t="s">
        <v>1469</v>
      </c>
      <c r="N128" s="3"/>
      <c r="O128" s="3"/>
      <c r="P128" s="3" t="s">
        <v>1373</v>
      </c>
      <c r="Q128" s="7" t="s">
        <v>1374</v>
      </c>
      <c r="R128" s="7" t="n">
        <v>49</v>
      </c>
      <c r="S128" s="3" t="s">
        <v>1396</v>
      </c>
      <c r="T128" s="3" t="s">
        <v>1470</v>
      </c>
      <c r="U128" s="7"/>
      <c r="V128" s="3" t="s">
        <v>123</v>
      </c>
      <c r="W128" s="3" t="s">
        <v>1471</v>
      </c>
      <c r="X128" s="3" t="s">
        <v>1472</v>
      </c>
      <c r="Y128" s="3" t="s">
        <v>1473</v>
      </c>
      <c r="Z128" s="8" t="s">
        <v>1466</v>
      </c>
    </row>
    <row r="129" customFormat="false" ht="26.85" hidden="false" customHeight="false" outlineLevel="0" collapsed="false">
      <c r="A129" s="7" t="s">
        <v>1474</v>
      </c>
      <c r="B129" s="7" t="s">
        <v>1475</v>
      </c>
      <c r="C129" s="7"/>
      <c r="D129" s="7" t="n">
        <v>2014</v>
      </c>
      <c r="E129" s="3" t="s">
        <v>1476</v>
      </c>
      <c r="F129" s="7" t="s">
        <v>85</v>
      </c>
      <c r="G129" s="3" t="s">
        <v>86</v>
      </c>
      <c r="H129" s="7" t="s">
        <v>87</v>
      </c>
      <c r="I129" s="7" t="s">
        <v>502</v>
      </c>
      <c r="J129" s="7" t="s">
        <v>503</v>
      </c>
      <c r="K129" s="7" t="s">
        <v>274</v>
      </c>
      <c r="L129" s="3" t="s">
        <v>1145</v>
      </c>
      <c r="M129" s="3" t="s">
        <v>1477</v>
      </c>
      <c r="N129" s="3"/>
      <c r="O129" s="3"/>
      <c r="P129" s="3" t="s">
        <v>1478</v>
      </c>
      <c r="Q129" s="7" t="s">
        <v>1374</v>
      </c>
      <c r="R129" s="7" t="n">
        <v>21</v>
      </c>
      <c r="S129" s="3" t="s">
        <v>1479</v>
      </c>
      <c r="T129" s="3" t="s">
        <v>1480</v>
      </c>
      <c r="U129" s="7"/>
      <c r="V129" s="3" t="s">
        <v>282</v>
      </c>
      <c r="W129" s="3" t="s">
        <v>1481</v>
      </c>
      <c r="X129" s="3" t="s">
        <v>1482</v>
      </c>
      <c r="Y129" s="3" t="s">
        <v>1483</v>
      </c>
      <c r="Z129" s="8" t="s">
        <v>1484</v>
      </c>
    </row>
    <row r="130" customFormat="false" ht="26.85" hidden="false" customHeight="false" outlineLevel="0" collapsed="false">
      <c r="A130" s="7" t="s">
        <v>1485</v>
      </c>
      <c r="B130" s="7" t="s">
        <v>1486</v>
      </c>
      <c r="C130" s="7"/>
      <c r="D130" s="7" t="n">
        <v>2014</v>
      </c>
      <c r="E130" s="3" t="s">
        <v>1487</v>
      </c>
      <c r="F130" s="7" t="s">
        <v>140</v>
      </c>
      <c r="G130" s="3" t="s">
        <v>141</v>
      </c>
      <c r="H130" s="7" t="s">
        <v>87</v>
      </c>
      <c r="I130" s="7" t="s">
        <v>1488</v>
      </c>
      <c r="J130" s="7" t="s">
        <v>1489</v>
      </c>
      <c r="K130" s="7" t="s">
        <v>1490</v>
      </c>
      <c r="L130" s="3" t="s">
        <v>1491</v>
      </c>
      <c r="M130" s="3" t="s">
        <v>1492</v>
      </c>
      <c r="N130" s="3"/>
      <c r="O130" s="3" t="s">
        <v>1493</v>
      </c>
      <c r="P130" s="3"/>
      <c r="Q130" s="7"/>
      <c r="R130" s="7"/>
      <c r="S130" s="3"/>
      <c r="T130" s="3" t="s">
        <v>1494</v>
      </c>
      <c r="U130" s="7"/>
      <c r="V130" s="3" t="s">
        <v>296</v>
      </c>
      <c r="W130" s="3" t="s">
        <v>1495</v>
      </c>
      <c r="X130" s="3" t="s">
        <v>1496</v>
      </c>
      <c r="Y130" s="3" t="s">
        <v>1497</v>
      </c>
      <c r="Z130" s="8" t="s">
        <v>1498</v>
      </c>
    </row>
    <row r="131" customFormat="false" ht="26.85" hidden="false" customHeight="false" outlineLevel="0" collapsed="false">
      <c r="A131" s="7" t="s">
        <v>1499</v>
      </c>
      <c r="B131" s="7" t="s">
        <v>1500</v>
      </c>
      <c r="C131" s="7"/>
      <c r="D131" s="7" t="n">
        <v>2014</v>
      </c>
      <c r="E131" s="3" t="s">
        <v>1501</v>
      </c>
      <c r="F131" s="7" t="s">
        <v>140</v>
      </c>
      <c r="G131" s="3" t="s">
        <v>141</v>
      </c>
      <c r="H131" s="7" t="s">
        <v>87</v>
      </c>
      <c r="I131" s="7" t="s">
        <v>225</v>
      </c>
      <c r="J131" s="7" t="s">
        <v>226</v>
      </c>
      <c r="K131" s="7" t="s">
        <v>227</v>
      </c>
      <c r="L131" s="3" t="s">
        <v>368</v>
      </c>
      <c r="M131" s="3" t="s">
        <v>1502</v>
      </c>
      <c r="N131" s="3" t="s">
        <v>1503</v>
      </c>
      <c r="O131" s="3" t="s">
        <v>1504</v>
      </c>
      <c r="P131" s="3"/>
      <c r="Q131" s="7"/>
      <c r="R131" s="7"/>
      <c r="S131" s="3"/>
      <c r="T131" s="3" t="s">
        <v>1505</v>
      </c>
      <c r="U131" s="7"/>
      <c r="V131" s="3" t="s">
        <v>296</v>
      </c>
      <c r="W131" s="3" t="s">
        <v>1506</v>
      </c>
      <c r="X131" s="3" t="s">
        <v>1507</v>
      </c>
      <c r="Y131" s="3" t="s">
        <v>1508</v>
      </c>
      <c r="Z131" s="8" t="s">
        <v>1509</v>
      </c>
    </row>
    <row r="132" customFormat="false" ht="26.85" hidden="false" customHeight="false" outlineLevel="0" collapsed="false">
      <c r="A132" s="7" t="s">
        <v>1510</v>
      </c>
      <c r="B132" s="7" t="s">
        <v>1511</v>
      </c>
      <c r="C132" s="7" t="s">
        <v>121</v>
      </c>
      <c r="D132" s="7" t="n">
        <v>2014</v>
      </c>
      <c r="E132" s="3" t="s">
        <v>1512</v>
      </c>
      <c r="F132" s="7" t="s">
        <v>140</v>
      </c>
      <c r="G132" s="3" t="s">
        <v>141</v>
      </c>
      <c r="H132" s="7" t="s">
        <v>100</v>
      </c>
      <c r="I132" s="7" t="s">
        <v>101</v>
      </c>
      <c r="J132" s="7" t="s">
        <v>102</v>
      </c>
      <c r="K132" s="7" t="s">
        <v>103</v>
      </c>
      <c r="L132" s="3"/>
      <c r="M132" s="3" t="s">
        <v>1513</v>
      </c>
      <c r="N132" s="3" t="s">
        <v>1514</v>
      </c>
      <c r="O132" s="3"/>
      <c r="P132" s="3"/>
      <c r="Q132" s="7"/>
      <c r="R132" s="7"/>
      <c r="S132" s="3"/>
      <c r="T132" s="3" t="s">
        <v>1515</v>
      </c>
      <c r="U132" s="7"/>
      <c r="V132" s="3" t="s">
        <v>140</v>
      </c>
      <c r="W132" s="3" t="s">
        <v>1516</v>
      </c>
      <c r="X132" s="3" t="s">
        <v>1517</v>
      </c>
      <c r="Y132" s="3" t="s">
        <v>1518</v>
      </c>
      <c r="Z132" s="8" t="s">
        <v>1519</v>
      </c>
    </row>
    <row r="133" customFormat="false" ht="26.85" hidden="false" customHeight="false" outlineLevel="0" collapsed="false">
      <c r="A133" s="7" t="s">
        <v>1520</v>
      </c>
      <c r="B133" s="7" t="s">
        <v>1511</v>
      </c>
      <c r="C133" s="7"/>
      <c r="D133" s="7" t="n">
        <v>2014</v>
      </c>
      <c r="E133" s="3" t="s">
        <v>1521</v>
      </c>
      <c r="F133" s="7" t="s">
        <v>140</v>
      </c>
      <c r="G133" s="3" t="s">
        <v>141</v>
      </c>
      <c r="H133" s="7" t="s">
        <v>87</v>
      </c>
      <c r="I133" s="7" t="s">
        <v>272</v>
      </c>
      <c r="J133" s="7" t="s">
        <v>273</v>
      </c>
      <c r="K133" s="7" t="s">
        <v>90</v>
      </c>
      <c r="L133" s="3" t="s">
        <v>766</v>
      </c>
      <c r="M133" s="3" t="s">
        <v>1522</v>
      </c>
      <c r="N133" s="3" t="s">
        <v>1523</v>
      </c>
      <c r="O133" s="3" t="s">
        <v>1524</v>
      </c>
      <c r="P133" s="3"/>
      <c r="Q133" s="7"/>
      <c r="R133" s="7"/>
      <c r="S133" s="3"/>
      <c r="T133" s="3" t="s">
        <v>1525</v>
      </c>
      <c r="U133" s="7"/>
      <c r="V133" s="3" t="s">
        <v>296</v>
      </c>
      <c r="W133" s="3" t="s">
        <v>1526</v>
      </c>
      <c r="X133" s="3" t="s">
        <v>1527</v>
      </c>
      <c r="Y133" s="3" t="s">
        <v>1528</v>
      </c>
      <c r="Z133" s="8" t="s">
        <v>1529</v>
      </c>
    </row>
    <row r="134" customFormat="false" ht="26.85" hidden="false" customHeight="false" outlineLevel="0" collapsed="false">
      <c r="A134" s="7" t="s">
        <v>1530</v>
      </c>
      <c r="B134" s="7" t="s">
        <v>1531</v>
      </c>
      <c r="C134" s="7"/>
      <c r="D134" s="7" t="n">
        <v>2014</v>
      </c>
      <c r="E134" s="3" t="s">
        <v>1532</v>
      </c>
      <c r="F134" s="7" t="s">
        <v>85</v>
      </c>
      <c r="G134" s="3" t="s">
        <v>86</v>
      </c>
      <c r="H134" s="7" t="s">
        <v>100</v>
      </c>
      <c r="I134" s="7" t="s">
        <v>1533</v>
      </c>
      <c r="J134" s="7" t="s">
        <v>1534</v>
      </c>
      <c r="K134" s="7" t="s">
        <v>103</v>
      </c>
      <c r="L134" s="3" t="s">
        <v>1535</v>
      </c>
      <c r="M134" s="3" t="s">
        <v>1536</v>
      </c>
      <c r="N134" s="3"/>
      <c r="O134" s="3"/>
      <c r="P134" s="3"/>
      <c r="Q134" s="7"/>
      <c r="R134" s="7"/>
      <c r="S134" s="3"/>
      <c r="T134" s="3" t="s">
        <v>1537</v>
      </c>
      <c r="U134" s="7"/>
      <c r="V134" s="3" t="s">
        <v>85</v>
      </c>
      <c r="W134" s="3" t="s">
        <v>1538</v>
      </c>
      <c r="X134" s="3" t="s">
        <v>1539</v>
      </c>
      <c r="Y134" s="3" t="s">
        <v>1540</v>
      </c>
      <c r="Z134" s="8" t="s">
        <v>1541</v>
      </c>
    </row>
    <row r="135" customFormat="false" ht="26.85" hidden="false" customHeight="false" outlineLevel="0" collapsed="false">
      <c r="A135" s="7" t="s">
        <v>1542</v>
      </c>
      <c r="B135" s="7" t="s">
        <v>1531</v>
      </c>
      <c r="C135" s="7"/>
      <c r="D135" s="7" t="n">
        <v>2014</v>
      </c>
      <c r="E135" s="3" t="s">
        <v>1543</v>
      </c>
      <c r="F135" s="7" t="s">
        <v>85</v>
      </c>
      <c r="G135" s="3" t="s">
        <v>86</v>
      </c>
      <c r="H135" s="7" t="s">
        <v>87</v>
      </c>
      <c r="I135" s="7" t="s">
        <v>1533</v>
      </c>
      <c r="J135" s="7" t="s">
        <v>1534</v>
      </c>
      <c r="K135" s="7" t="s">
        <v>1544</v>
      </c>
      <c r="L135" s="3" t="s">
        <v>1545</v>
      </c>
      <c r="M135" s="3" t="s">
        <v>1546</v>
      </c>
      <c r="N135" s="3"/>
      <c r="O135" s="3"/>
      <c r="P135" s="3"/>
      <c r="Q135" s="7"/>
      <c r="R135" s="7"/>
      <c r="S135" s="3"/>
      <c r="T135" s="3" t="s">
        <v>1547</v>
      </c>
      <c r="U135" s="7"/>
      <c r="V135" s="3" t="s">
        <v>85</v>
      </c>
      <c r="W135" s="3" t="s">
        <v>1548</v>
      </c>
      <c r="X135" s="3" t="s">
        <v>1549</v>
      </c>
      <c r="Y135" s="3" t="s">
        <v>1550</v>
      </c>
      <c r="Z135" s="8" t="s">
        <v>1551</v>
      </c>
    </row>
    <row r="136" customFormat="false" ht="26.85" hidden="false" customHeight="false" outlineLevel="0" collapsed="false">
      <c r="A136" s="7" t="s">
        <v>1552</v>
      </c>
      <c r="B136" s="7" t="s">
        <v>1531</v>
      </c>
      <c r="C136" s="7"/>
      <c r="D136" s="7" t="n">
        <v>2014</v>
      </c>
      <c r="E136" s="3" t="s">
        <v>1553</v>
      </c>
      <c r="F136" s="7" t="s">
        <v>140</v>
      </c>
      <c r="G136" s="3" t="s">
        <v>141</v>
      </c>
      <c r="H136" s="7" t="s">
        <v>87</v>
      </c>
      <c r="I136" s="7" t="s">
        <v>164</v>
      </c>
      <c r="J136" s="7" t="s">
        <v>165</v>
      </c>
      <c r="K136" s="7" t="s">
        <v>166</v>
      </c>
      <c r="L136" s="3" t="s">
        <v>175</v>
      </c>
      <c r="M136" s="3" t="s">
        <v>1554</v>
      </c>
      <c r="N136" s="3"/>
      <c r="O136" s="3" t="s">
        <v>1555</v>
      </c>
      <c r="P136" s="3"/>
      <c r="Q136" s="7"/>
      <c r="R136" s="7"/>
      <c r="S136" s="3"/>
      <c r="T136" s="3" t="s">
        <v>1556</v>
      </c>
      <c r="U136" s="7"/>
      <c r="V136" s="3" t="s">
        <v>140</v>
      </c>
      <c r="W136" s="3" t="s">
        <v>1557</v>
      </c>
      <c r="X136" s="3" t="s">
        <v>1558</v>
      </c>
      <c r="Y136" s="3" t="s">
        <v>1559</v>
      </c>
      <c r="Z136" s="8" t="s">
        <v>1560</v>
      </c>
    </row>
    <row r="137" customFormat="false" ht="26.85" hidden="false" customHeight="false" outlineLevel="0" collapsed="false">
      <c r="A137" s="7" t="s">
        <v>1561</v>
      </c>
      <c r="B137" s="7" t="s">
        <v>1449</v>
      </c>
      <c r="C137" s="7"/>
      <c r="D137" s="7" t="n">
        <v>2014</v>
      </c>
      <c r="E137" s="3" t="s">
        <v>1562</v>
      </c>
      <c r="F137" s="7" t="s">
        <v>85</v>
      </c>
      <c r="G137" s="3" t="s">
        <v>86</v>
      </c>
      <c r="H137" s="7" t="s">
        <v>100</v>
      </c>
      <c r="I137" s="7" t="s">
        <v>225</v>
      </c>
      <c r="J137" s="7" t="s">
        <v>226</v>
      </c>
      <c r="K137" s="7" t="s">
        <v>103</v>
      </c>
      <c r="L137" s="3" t="s">
        <v>1535</v>
      </c>
      <c r="M137" s="3" t="s">
        <v>1563</v>
      </c>
      <c r="N137" s="3"/>
      <c r="O137" s="3"/>
      <c r="P137" s="3"/>
      <c r="Q137" s="7"/>
      <c r="R137" s="7"/>
      <c r="S137" s="3"/>
      <c r="T137" s="3" t="s">
        <v>1564</v>
      </c>
      <c r="U137" s="7"/>
      <c r="V137" s="3" t="s">
        <v>85</v>
      </c>
      <c r="W137" s="3" t="s">
        <v>1565</v>
      </c>
      <c r="X137" s="3" t="s">
        <v>1566</v>
      </c>
      <c r="Y137" s="3" t="s">
        <v>1567</v>
      </c>
      <c r="Z137" s="8" t="s">
        <v>1568</v>
      </c>
    </row>
    <row r="138" customFormat="false" ht="26.85" hidden="false" customHeight="false" outlineLevel="0" collapsed="false">
      <c r="A138" s="7" t="s">
        <v>1569</v>
      </c>
      <c r="B138" s="7" t="s">
        <v>1449</v>
      </c>
      <c r="C138" s="7"/>
      <c r="D138" s="7" t="n">
        <v>2014</v>
      </c>
      <c r="E138" s="3" t="s">
        <v>1570</v>
      </c>
      <c r="F138" s="7" t="s">
        <v>85</v>
      </c>
      <c r="G138" s="3" t="s">
        <v>86</v>
      </c>
      <c r="H138" s="7" t="s">
        <v>100</v>
      </c>
      <c r="I138" s="7" t="s">
        <v>1533</v>
      </c>
      <c r="J138" s="7" t="s">
        <v>1534</v>
      </c>
      <c r="K138" s="7" t="s">
        <v>103</v>
      </c>
      <c r="L138" s="3" t="s">
        <v>1535</v>
      </c>
      <c r="M138" s="3" t="s">
        <v>1571</v>
      </c>
      <c r="N138" s="3"/>
      <c r="O138" s="3"/>
      <c r="P138" s="3" t="s">
        <v>1572</v>
      </c>
      <c r="Q138" s="7" t="s">
        <v>1573</v>
      </c>
      <c r="R138" s="7" t="n">
        <v>33</v>
      </c>
      <c r="S138" s="3" t="s">
        <v>1574</v>
      </c>
      <c r="T138" s="3" t="s">
        <v>1575</v>
      </c>
      <c r="U138" s="7"/>
      <c r="V138" s="3" t="s">
        <v>282</v>
      </c>
      <c r="W138" s="3" t="s">
        <v>1576</v>
      </c>
      <c r="X138" s="3" t="s">
        <v>1577</v>
      </c>
      <c r="Y138" s="3" t="s">
        <v>1578</v>
      </c>
      <c r="Z138" s="8" t="s">
        <v>1579</v>
      </c>
    </row>
    <row r="139" customFormat="false" ht="26.85" hidden="false" customHeight="false" outlineLevel="0" collapsed="false">
      <c r="A139" s="7" t="s">
        <v>1580</v>
      </c>
      <c r="B139" s="7" t="s">
        <v>1573</v>
      </c>
      <c r="C139" s="7"/>
      <c r="D139" s="7" t="n">
        <v>2014</v>
      </c>
      <c r="E139" s="3" t="s">
        <v>1581</v>
      </c>
      <c r="F139" s="7" t="s">
        <v>140</v>
      </c>
      <c r="G139" s="3" t="s">
        <v>141</v>
      </c>
      <c r="H139" s="7" t="s">
        <v>100</v>
      </c>
      <c r="I139" s="7" t="s">
        <v>101</v>
      </c>
      <c r="J139" s="7" t="s">
        <v>102</v>
      </c>
      <c r="K139" s="7" t="s">
        <v>103</v>
      </c>
      <c r="L139" s="3" t="s">
        <v>1582</v>
      </c>
      <c r="M139" s="3" t="s">
        <v>1583</v>
      </c>
      <c r="N139" s="3" t="s">
        <v>1584</v>
      </c>
      <c r="O139" s="3"/>
      <c r="P139" s="3"/>
      <c r="Q139" s="7"/>
      <c r="R139" s="7"/>
      <c r="S139" s="3"/>
      <c r="T139" s="3" t="s">
        <v>1585</v>
      </c>
      <c r="U139" s="7"/>
      <c r="V139" s="3" t="s">
        <v>140</v>
      </c>
      <c r="W139" s="3" t="s">
        <v>1586</v>
      </c>
      <c r="X139" s="3" t="s">
        <v>1587</v>
      </c>
      <c r="Y139" s="3" t="s">
        <v>1588</v>
      </c>
      <c r="Z139" s="8" t="s">
        <v>1589</v>
      </c>
    </row>
    <row r="140" customFormat="false" ht="26.85" hidden="false" customHeight="false" outlineLevel="0" collapsed="false">
      <c r="A140" s="7" t="s">
        <v>1590</v>
      </c>
      <c r="B140" s="7" t="s">
        <v>1591</v>
      </c>
      <c r="C140" s="7"/>
      <c r="D140" s="7" t="n">
        <v>2015</v>
      </c>
      <c r="E140" s="3" t="s">
        <v>1592</v>
      </c>
      <c r="F140" s="7" t="s">
        <v>85</v>
      </c>
      <c r="G140" s="3" t="s">
        <v>86</v>
      </c>
      <c r="H140" s="7" t="s">
        <v>87</v>
      </c>
      <c r="I140" s="7" t="s">
        <v>290</v>
      </c>
      <c r="J140" s="7" t="s">
        <v>291</v>
      </c>
      <c r="K140" s="7" t="s">
        <v>90</v>
      </c>
      <c r="L140" s="3" t="s">
        <v>1593</v>
      </c>
      <c r="M140" s="3" t="s">
        <v>1594</v>
      </c>
      <c r="N140" s="3"/>
      <c r="O140" s="3"/>
      <c r="P140" s="3"/>
      <c r="Q140" s="7"/>
      <c r="R140" s="7"/>
      <c r="S140" s="3"/>
      <c r="T140" s="3" t="s">
        <v>1595</v>
      </c>
      <c r="U140" s="7"/>
      <c r="V140" s="3" t="s">
        <v>85</v>
      </c>
      <c r="W140" s="3" t="s">
        <v>1596</v>
      </c>
      <c r="X140" s="3" t="s">
        <v>1597</v>
      </c>
      <c r="Y140" s="3" t="s">
        <v>1598</v>
      </c>
      <c r="Z140" s="8" t="s">
        <v>1599</v>
      </c>
    </row>
    <row r="141" customFormat="false" ht="26.85" hidden="false" customHeight="false" outlineLevel="0" collapsed="false">
      <c r="A141" s="7" t="s">
        <v>1600</v>
      </c>
      <c r="B141" s="7" t="s">
        <v>1591</v>
      </c>
      <c r="C141" s="7"/>
      <c r="D141" s="7" t="n">
        <v>2015</v>
      </c>
      <c r="E141" s="3" t="s">
        <v>1601</v>
      </c>
      <c r="F141" s="7" t="s">
        <v>85</v>
      </c>
      <c r="G141" s="3" t="s">
        <v>86</v>
      </c>
      <c r="H141" s="7" t="s">
        <v>100</v>
      </c>
      <c r="I141" s="7" t="s">
        <v>101</v>
      </c>
      <c r="J141" s="7" t="s">
        <v>102</v>
      </c>
      <c r="K141" s="7" t="s">
        <v>103</v>
      </c>
      <c r="L141" s="3"/>
      <c r="M141" s="3" t="s">
        <v>1602</v>
      </c>
      <c r="N141" s="3"/>
      <c r="O141" s="3" t="s">
        <v>1603</v>
      </c>
      <c r="P141" s="3"/>
      <c r="Q141" s="7"/>
      <c r="R141" s="7"/>
      <c r="S141" s="3"/>
      <c r="T141" s="3" t="s">
        <v>1604</v>
      </c>
      <c r="U141" s="7"/>
      <c r="V141" s="3" t="s">
        <v>85</v>
      </c>
      <c r="W141" s="3" t="s">
        <v>1605</v>
      </c>
      <c r="X141" s="3" t="s">
        <v>1606</v>
      </c>
      <c r="Y141" s="3" t="s">
        <v>1607</v>
      </c>
      <c r="Z141" s="8" t="s">
        <v>119</v>
      </c>
    </row>
    <row r="142" customFormat="false" ht="26.85" hidden="false" customHeight="false" outlineLevel="0" collapsed="false">
      <c r="A142" s="7" t="s">
        <v>1608</v>
      </c>
      <c r="B142" s="7" t="s">
        <v>1591</v>
      </c>
      <c r="C142" s="7"/>
      <c r="D142" s="7" t="n">
        <v>2015</v>
      </c>
      <c r="E142" s="3" t="s">
        <v>1609</v>
      </c>
      <c r="F142" s="7" t="s">
        <v>140</v>
      </c>
      <c r="G142" s="3" t="s">
        <v>141</v>
      </c>
      <c r="H142" s="7" t="s">
        <v>87</v>
      </c>
      <c r="I142" s="7" t="s">
        <v>941</v>
      </c>
      <c r="J142" s="7" t="s">
        <v>942</v>
      </c>
      <c r="K142" s="7" t="s">
        <v>1413</v>
      </c>
      <c r="L142" s="3" t="s">
        <v>1414</v>
      </c>
      <c r="M142" s="3" t="s">
        <v>1610</v>
      </c>
      <c r="N142" s="3" t="s">
        <v>1611</v>
      </c>
      <c r="O142" s="3" t="s">
        <v>1612</v>
      </c>
      <c r="P142" s="3"/>
      <c r="Q142" s="7"/>
      <c r="R142" s="7"/>
      <c r="S142" s="3"/>
      <c r="T142" s="3" t="s">
        <v>1613</v>
      </c>
      <c r="U142" s="7"/>
      <c r="V142" s="3" t="s">
        <v>140</v>
      </c>
      <c r="W142" s="3" t="s">
        <v>1614</v>
      </c>
      <c r="X142" s="3" t="s">
        <v>1615</v>
      </c>
      <c r="Y142" s="3" t="s">
        <v>1616</v>
      </c>
      <c r="Z142" s="8" t="s">
        <v>1617</v>
      </c>
    </row>
    <row r="143" customFormat="false" ht="26.85" hidden="false" customHeight="false" outlineLevel="0" collapsed="false">
      <c r="A143" s="7" t="s">
        <v>1618</v>
      </c>
      <c r="B143" s="7" t="s">
        <v>1619</v>
      </c>
      <c r="C143" s="7"/>
      <c r="D143" s="7" t="n">
        <v>2015</v>
      </c>
      <c r="E143" s="3" t="s">
        <v>1620</v>
      </c>
      <c r="F143" s="7" t="s">
        <v>140</v>
      </c>
      <c r="G143" s="3" t="s">
        <v>141</v>
      </c>
      <c r="H143" s="7" t="s">
        <v>100</v>
      </c>
      <c r="I143" s="7" t="s">
        <v>101</v>
      </c>
      <c r="J143" s="7" t="s">
        <v>102</v>
      </c>
      <c r="K143" s="7" t="s">
        <v>103</v>
      </c>
      <c r="L143" s="3" t="s">
        <v>1621</v>
      </c>
      <c r="M143" s="3" t="s">
        <v>1622</v>
      </c>
      <c r="N143" s="3" t="s">
        <v>1623</v>
      </c>
      <c r="O143" s="3"/>
      <c r="P143" s="3"/>
      <c r="Q143" s="7"/>
      <c r="R143" s="7"/>
      <c r="S143" s="3"/>
      <c r="T143" s="3" t="s">
        <v>1624</v>
      </c>
      <c r="U143" s="7"/>
      <c r="V143" s="3" t="s">
        <v>140</v>
      </c>
      <c r="W143" s="3" t="s">
        <v>1625</v>
      </c>
      <c r="X143" s="3" t="s">
        <v>1626</v>
      </c>
      <c r="Y143" s="3" t="s">
        <v>1627</v>
      </c>
      <c r="Z143" s="8" t="s">
        <v>1628</v>
      </c>
    </row>
    <row r="144" customFormat="false" ht="26.85" hidden="false" customHeight="false" outlineLevel="0" collapsed="false">
      <c r="A144" s="7" t="s">
        <v>1629</v>
      </c>
      <c r="B144" s="7" t="s">
        <v>1630</v>
      </c>
      <c r="C144" s="7"/>
      <c r="D144" s="7" t="n">
        <v>2015</v>
      </c>
      <c r="E144" s="3" t="s">
        <v>1631</v>
      </c>
      <c r="F144" s="7" t="s">
        <v>123</v>
      </c>
      <c r="G144" s="3" t="s">
        <v>124</v>
      </c>
      <c r="H144" s="7" t="s">
        <v>100</v>
      </c>
      <c r="I144" s="7" t="s">
        <v>478</v>
      </c>
      <c r="J144" s="7" t="s">
        <v>479</v>
      </c>
      <c r="K144" s="7" t="s">
        <v>103</v>
      </c>
      <c r="L144" s="3" t="s">
        <v>1535</v>
      </c>
      <c r="M144" s="3" t="s">
        <v>1632</v>
      </c>
      <c r="N144" s="3"/>
      <c r="O144" s="3"/>
      <c r="P144" s="3" t="s">
        <v>1633</v>
      </c>
      <c r="Q144" s="7" t="s">
        <v>1634</v>
      </c>
      <c r="R144" s="7" t="n">
        <v>55</v>
      </c>
      <c r="S144" s="3" t="s">
        <v>1635</v>
      </c>
      <c r="T144" s="3" t="s">
        <v>1636</v>
      </c>
      <c r="U144" s="7"/>
      <c r="V144" s="3" t="s">
        <v>123</v>
      </c>
      <c r="W144" s="3" t="s">
        <v>1637</v>
      </c>
      <c r="X144" s="3" t="s">
        <v>1638</v>
      </c>
      <c r="Y144" s="3" t="s">
        <v>1639</v>
      </c>
      <c r="Z144" s="8" t="s">
        <v>1640</v>
      </c>
    </row>
    <row r="145" customFormat="false" ht="26.85" hidden="false" customHeight="false" outlineLevel="0" collapsed="false">
      <c r="A145" s="7" t="s">
        <v>1641</v>
      </c>
      <c r="B145" s="7" t="s">
        <v>1642</v>
      </c>
      <c r="C145" s="7"/>
      <c r="D145" s="7" t="n">
        <v>2015</v>
      </c>
      <c r="E145" s="3" t="s">
        <v>1643</v>
      </c>
      <c r="F145" s="7" t="s">
        <v>123</v>
      </c>
      <c r="G145" s="3" t="s">
        <v>124</v>
      </c>
      <c r="H145" s="7" t="s">
        <v>87</v>
      </c>
      <c r="I145" s="7" t="s">
        <v>703</v>
      </c>
      <c r="J145" s="7" t="s">
        <v>704</v>
      </c>
      <c r="K145" s="7" t="s">
        <v>274</v>
      </c>
      <c r="L145" s="3" t="s">
        <v>705</v>
      </c>
      <c r="M145" s="3" t="s">
        <v>1644</v>
      </c>
      <c r="N145" s="3" t="s">
        <v>1645</v>
      </c>
      <c r="O145" s="3" t="s">
        <v>1646</v>
      </c>
      <c r="P145" s="3" t="s">
        <v>1647</v>
      </c>
      <c r="Q145" s="7" t="s">
        <v>1648</v>
      </c>
      <c r="R145" s="7" t="n">
        <v>191</v>
      </c>
      <c r="S145" s="3" t="s">
        <v>1649</v>
      </c>
      <c r="T145" s="3" t="s">
        <v>1650</v>
      </c>
      <c r="U145" s="7"/>
      <c r="V145" s="3" t="s">
        <v>296</v>
      </c>
      <c r="W145" s="3" t="s">
        <v>1651</v>
      </c>
      <c r="X145" s="3" t="s">
        <v>1652</v>
      </c>
      <c r="Y145" s="3" t="s">
        <v>1653</v>
      </c>
      <c r="Z145" s="8" t="s">
        <v>1654</v>
      </c>
    </row>
    <row r="146" customFormat="false" ht="26.85" hidden="false" customHeight="false" outlineLevel="0" collapsed="false">
      <c r="A146" s="7" t="s">
        <v>1655</v>
      </c>
      <c r="B146" s="7" t="s">
        <v>1642</v>
      </c>
      <c r="C146" s="7"/>
      <c r="D146" s="7" t="n">
        <v>2015</v>
      </c>
      <c r="E146" s="3" t="s">
        <v>1656</v>
      </c>
      <c r="F146" s="7" t="s">
        <v>123</v>
      </c>
      <c r="G146" s="3" t="s">
        <v>124</v>
      </c>
      <c r="H146" s="7" t="s">
        <v>100</v>
      </c>
      <c r="I146" s="7" t="s">
        <v>101</v>
      </c>
      <c r="J146" s="7" t="s">
        <v>102</v>
      </c>
      <c r="K146" s="7" t="s">
        <v>103</v>
      </c>
      <c r="L146" s="3" t="s">
        <v>1657</v>
      </c>
      <c r="M146" s="3" t="s">
        <v>1658</v>
      </c>
      <c r="N146" s="3" t="s">
        <v>1659</v>
      </c>
      <c r="O146" s="3" t="s">
        <v>1660</v>
      </c>
      <c r="P146" s="3" t="s">
        <v>1633</v>
      </c>
      <c r="Q146" s="7" t="s">
        <v>1634</v>
      </c>
      <c r="R146" s="7" t="n">
        <v>37</v>
      </c>
      <c r="S146" s="3" t="s">
        <v>1661</v>
      </c>
      <c r="T146" s="3" t="s">
        <v>1662</v>
      </c>
      <c r="U146" s="7"/>
      <c r="V146" s="3" t="s">
        <v>296</v>
      </c>
      <c r="W146" s="3" t="s">
        <v>1663</v>
      </c>
      <c r="X146" s="3" t="s">
        <v>1664</v>
      </c>
      <c r="Y146" s="3" t="s">
        <v>1665</v>
      </c>
      <c r="Z146" s="8" t="s">
        <v>1666</v>
      </c>
    </row>
    <row r="147" customFormat="false" ht="26.85" hidden="false" customHeight="false" outlineLevel="0" collapsed="false">
      <c r="A147" s="7" t="s">
        <v>1667</v>
      </c>
      <c r="B147" s="7" t="s">
        <v>1642</v>
      </c>
      <c r="C147" s="7"/>
      <c r="D147" s="7" t="n">
        <v>2015</v>
      </c>
      <c r="E147" s="3" t="s">
        <v>1668</v>
      </c>
      <c r="F147" s="7" t="s">
        <v>140</v>
      </c>
      <c r="G147" s="3" t="s">
        <v>141</v>
      </c>
      <c r="H147" s="7" t="s">
        <v>87</v>
      </c>
      <c r="I147" s="7" t="s">
        <v>1533</v>
      </c>
      <c r="J147" s="7" t="s">
        <v>1534</v>
      </c>
      <c r="K147" s="7" t="s">
        <v>1669</v>
      </c>
      <c r="L147" s="3" t="s">
        <v>1670</v>
      </c>
      <c r="M147" s="3" t="s">
        <v>1671</v>
      </c>
      <c r="N147" s="3" t="s">
        <v>1672</v>
      </c>
      <c r="O147" s="3" t="s">
        <v>1673</v>
      </c>
      <c r="P147" s="3"/>
      <c r="Q147" s="7"/>
      <c r="R147" s="7"/>
      <c r="S147" s="3"/>
      <c r="T147" s="3" t="s">
        <v>1674</v>
      </c>
      <c r="U147" s="7"/>
      <c r="V147" s="3" t="s">
        <v>140</v>
      </c>
      <c r="W147" s="3" t="s">
        <v>1675</v>
      </c>
      <c r="X147" s="3" t="s">
        <v>1676</v>
      </c>
      <c r="Y147" s="3" t="s">
        <v>1677</v>
      </c>
      <c r="Z147" s="8" t="s">
        <v>1678</v>
      </c>
    </row>
    <row r="148" customFormat="false" ht="26.85" hidden="false" customHeight="false" outlineLevel="0" collapsed="false">
      <c r="A148" s="7" t="s">
        <v>1679</v>
      </c>
      <c r="B148" s="7" t="s">
        <v>1680</v>
      </c>
      <c r="C148" s="7"/>
      <c r="D148" s="7" t="n">
        <v>2015</v>
      </c>
      <c r="E148" s="3" t="s">
        <v>1681</v>
      </c>
      <c r="F148" s="7" t="s">
        <v>85</v>
      </c>
      <c r="G148" s="3" t="s">
        <v>86</v>
      </c>
      <c r="H148" s="7" t="s">
        <v>100</v>
      </c>
      <c r="I148" s="7" t="s">
        <v>1533</v>
      </c>
      <c r="J148" s="7" t="s">
        <v>1534</v>
      </c>
      <c r="K148" s="7" t="s">
        <v>103</v>
      </c>
      <c r="L148" s="3" t="s">
        <v>1535</v>
      </c>
      <c r="M148" s="3" t="s">
        <v>1682</v>
      </c>
      <c r="N148" s="3"/>
      <c r="O148" s="3"/>
      <c r="P148" s="3"/>
      <c r="Q148" s="7"/>
      <c r="R148" s="7"/>
      <c r="S148" s="3"/>
      <c r="T148" s="3" t="s">
        <v>1683</v>
      </c>
      <c r="U148" s="7"/>
      <c r="V148" s="3" t="s">
        <v>85</v>
      </c>
      <c r="W148" s="3" t="s">
        <v>1684</v>
      </c>
      <c r="X148" s="3" t="s">
        <v>1685</v>
      </c>
      <c r="Y148" s="3" t="s">
        <v>1686</v>
      </c>
      <c r="Z148" s="8" t="s">
        <v>1687</v>
      </c>
    </row>
    <row r="149" customFormat="false" ht="26.85" hidden="false" customHeight="false" outlineLevel="0" collapsed="false">
      <c r="A149" s="7" t="s">
        <v>1688</v>
      </c>
      <c r="B149" s="7" t="s">
        <v>1689</v>
      </c>
      <c r="C149" s="7"/>
      <c r="D149" s="7" t="n">
        <v>2015</v>
      </c>
      <c r="E149" s="3" t="s">
        <v>1690</v>
      </c>
      <c r="F149" s="7" t="s">
        <v>85</v>
      </c>
      <c r="G149" s="3" t="s">
        <v>86</v>
      </c>
      <c r="H149" s="7" t="s">
        <v>87</v>
      </c>
      <c r="I149" s="7" t="s">
        <v>331</v>
      </c>
      <c r="J149" s="7" t="s">
        <v>332</v>
      </c>
      <c r="K149" s="7" t="s">
        <v>333</v>
      </c>
      <c r="L149" s="3" t="s">
        <v>466</v>
      </c>
      <c r="M149" s="3" t="s">
        <v>1691</v>
      </c>
      <c r="N149" s="3"/>
      <c r="O149" s="3"/>
      <c r="P149" s="3"/>
      <c r="Q149" s="7"/>
      <c r="R149" s="7"/>
      <c r="S149" s="3"/>
      <c r="T149" s="3" t="s">
        <v>1692</v>
      </c>
      <c r="U149" s="7"/>
      <c r="V149" s="3" t="s">
        <v>85</v>
      </c>
      <c r="W149" s="3" t="s">
        <v>1693</v>
      </c>
      <c r="X149" s="3" t="s">
        <v>1694</v>
      </c>
      <c r="Y149" s="3" t="s">
        <v>1695</v>
      </c>
      <c r="Z149" s="8" t="s">
        <v>1696</v>
      </c>
    </row>
    <row r="150" customFormat="false" ht="26.85" hidden="false" customHeight="false" outlineLevel="0" collapsed="false">
      <c r="A150" s="7" t="s">
        <v>1697</v>
      </c>
      <c r="B150" s="7" t="s">
        <v>1698</v>
      </c>
      <c r="C150" s="7"/>
      <c r="D150" s="7" t="n">
        <v>2016</v>
      </c>
      <c r="E150" s="3" t="s">
        <v>1699</v>
      </c>
      <c r="F150" s="7" t="s">
        <v>140</v>
      </c>
      <c r="G150" s="3" t="s">
        <v>141</v>
      </c>
      <c r="H150" s="7" t="s">
        <v>100</v>
      </c>
      <c r="I150" s="7" t="s">
        <v>101</v>
      </c>
      <c r="J150" s="7" t="s">
        <v>102</v>
      </c>
      <c r="K150" s="7" t="s">
        <v>103</v>
      </c>
      <c r="L150" s="3" t="s">
        <v>1700</v>
      </c>
      <c r="M150" s="3" t="s">
        <v>1701</v>
      </c>
      <c r="N150" s="3" t="s">
        <v>1702</v>
      </c>
      <c r="O150" s="3" t="s">
        <v>1703</v>
      </c>
      <c r="P150" s="3"/>
      <c r="Q150" s="7"/>
      <c r="R150" s="7"/>
      <c r="S150" s="3"/>
      <c r="T150" s="3" t="s">
        <v>1704</v>
      </c>
      <c r="U150" s="7"/>
      <c r="V150" s="3" t="s">
        <v>140</v>
      </c>
      <c r="W150" s="3" t="s">
        <v>1705</v>
      </c>
      <c r="X150" s="3" t="s">
        <v>1706</v>
      </c>
      <c r="Y150" s="3" t="s">
        <v>1707</v>
      </c>
      <c r="Z150" s="8" t="s">
        <v>1708</v>
      </c>
    </row>
    <row r="151" customFormat="false" ht="26.85" hidden="false" customHeight="false" outlineLevel="0" collapsed="false">
      <c r="A151" s="7" t="s">
        <v>1709</v>
      </c>
      <c r="B151" s="7" t="s">
        <v>1698</v>
      </c>
      <c r="C151" s="7"/>
      <c r="D151" s="7" t="n">
        <v>2016</v>
      </c>
      <c r="E151" s="3" t="s">
        <v>1710</v>
      </c>
      <c r="F151" s="7" t="s">
        <v>140</v>
      </c>
      <c r="G151" s="3" t="s">
        <v>141</v>
      </c>
      <c r="H151" s="7" t="s">
        <v>100</v>
      </c>
      <c r="I151" s="7" t="s">
        <v>101</v>
      </c>
      <c r="J151" s="7" t="s">
        <v>102</v>
      </c>
      <c r="K151" s="7" t="s">
        <v>103</v>
      </c>
      <c r="L151" s="3"/>
      <c r="M151" s="3" t="s">
        <v>1711</v>
      </c>
      <c r="N151" s="3" t="s">
        <v>1712</v>
      </c>
      <c r="O151" s="3" t="s">
        <v>1713</v>
      </c>
      <c r="P151" s="3"/>
      <c r="Q151" s="7"/>
      <c r="R151" s="7"/>
      <c r="S151" s="3"/>
      <c r="T151" s="3" t="s">
        <v>1714</v>
      </c>
      <c r="U151" s="7"/>
      <c r="V151" s="3" t="s">
        <v>140</v>
      </c>
      <c r="W151" s="3" t="s">
        <v>1715</v>
      </c>
      <c r="X151" s="3" t="s">
        <v>1716</v>
      </c>
      <c r="Y151" s="3" t="s">
        <v>1717</v>
      </c>
      <c r="Z151" s="8" t="s">
        <v>1718</v>
      </c>
    </row>
    <row r="152" customFormat="false" ht="26.85" hidden="false" customHeight="false" outlineLevel="0" collapsed="false">
      <c r="A152" s="7" t="s">
        <v>1719</v>
      </c>
      <c r="B152" s="7" t="s">
        <v>1698</v>
      </c>
      <c r="C152" s="7"/>
      <c r="D152" s="7" t="n">
        <v>2016</v>
      </c>
      <c r="E152" s="3" t="s">
        <v>1720</v>
      </c>
      <c r="F152" s="7" t="s">
        <v>123</v>
      </c>
      <c r="G152" s="3" t="s">
        <v>124</v>
      </c>
      <c r="H152" s="7" t="s">
        <v>87</v>
      </c>
      <c r="I152" s="7" t="s">
        <v>304</v>
      </c>
      <c r="J152" s="7" t="s">
        <v>305</v>
      </c>
      <c r="K152" s="7" t="s">
        <v>728</v>
      </c>
      <c r="L152" s="3" t="s">
        <v>729</v>
      </c>
      <c r="M152" s="3" t="s">
        <v>1721</v>
      </c>
      <c r="N152" s="3"/>
      <c r="O152" s="3" t="s">
        <v>1722</v>
      </c>
      <c r="P152" s="3" t="s">
        <v>1723</v>
      </c>
      <c r="Q152" s="7" t="s">
        <v>1724</v>
      </c>
      <c r="R152" s="7"/>
      <c r="S152" s="3" t="s">
        <v>1725</v>
      </c>
      <c r="T152" s="3" t="s">
        <v>1726</v>
      </c>
      <c r="U152" s="7"/>
      <c r="V152" s="3" t="s">
        <v>296</v>
      </c>
      <c r="W152" s="3" t="s">
        <v>1727</v>
      </c>
      <c r="X152" s="3" t="s">
        <v>1728</v>
      </c>
      <c r="Y152" s="3" t="s">
        <v>1729</v>
      </c>
      <c r="Z152" s="8" t="s">
        <v>1730</v>
      </c>
    </row>
    <row r="153" customFormat="false" ht="26.85" hidden="false" customHeight="false" outlineLevel="0" collapsed="false">
      <c r="A153" s="7" t="s">
        <v>1731</v>
      </c>
      <c r="B153" s="7" t="s">
        <v>1732</v>
      </c>
      <c r="C153" s="7"/>
      <c r="D153" s="7" t="n">
        <v>2016</v>
      </c>
      <c r="E153" s="3" t="s">
        <v>1733</v>
      </c>
      <c r="F153" s="7" t="s">
        <v>123</v>
      </c>
      <c r="G153" s="3" t="s">
        <v>124</v>
      </c>
      <c r="H153" s="7" t="s">
        <v>87</v>
      </c>
      <c r="I153" s="7" t="s">
        <v>941</v>
      </c>
      <c r="J153" s="7" t="s">
        <v>942</v>
      </c>
      <c r="K153" s="7" t="s">
        <v>1413</v>
      </c>
      <c r="L153" s="3" t="s">
        <v>1414</v>
      </c>
      <c r="M153" s="3" t="s">
        <v>1734</v>
      </c>
      <c r="N153" s="3" t="s">
        <v>1735</v>
      </c>
      <c r="O153" s="3"/>
      <c r="P153" s="3" t="s">
        <v>1736</v>
      </c>
      <c r="Q153" s="7" t="s">
        <v>1648</v>
      </c>
      <c r="R153" s="7" t="n">
        <v>68</v>
      </c>
      <c r="S153" s="3" t="s">
        <v>1737</v>
      </c>
      <c r="T153" s="3" t="s">
        <v>1738</v>
      </c>
      <c r="U153" s="7"/>
      <c r="V153" s="3" t="s">
        <v>296</v>
      </c>
      <c r="W153" s="3" t="s">
        <v>1739</v>
      </c>
      <c r="X153" s="3" t="s">
        <v>1740</v>
      </c>
      <c r="Y153" s="3" t="s">
        <v>1741</v>
      </c>
      <c r="Z153" s="8" t="s">
        <v>1742</v>
      </c>
    </row>
    <row r="154" customFormat="false" ht="26.85" hidden="false" customHeight="false" outlineLevel="0" collapsed="false">
      <c r="A154" s="7" t="s">
        <v>1743</v>
      </c>
      <c r="B154" s="7" t="s">
        <v>1744</v>
      </c>
      <c r="C154" s="7"/>
      <c r="D154" s="7" t="n">
        <v>2016</v>
      </c>
      <c r="E154" s="3" t="s">
        <v>1745</v>
      </c>
      <c r="F154" s="7" t="s">
        <v>140</v>
      </c>
      <c r="G154" s="3" t="s">
        <v>141</v>
      </c>
      <c r="H154" s="7" t="s">
        <v>87</v>
      </c>
      <c r="I154" s="7" t="s">
        <v>751</v>
      </c>
      <c r="J154" s="7" t="s">
        <v>752</v>
      </c>
      <c r="K154" s="7" t="s">
        <v>1746</v>
      </c>
      <c r="L154" s="3" t="s">
        <v>1747</v>
      </c>
      <c r="M154" s="3" t="s">
        <v>1748</v>
      </c>
      <c r="N154" s="3"/>
      <c r="O154" s="3"/>
      <c r="P154" s="3"/>
      <c r="Q154" s="7"/>
      <c r="R154" s="7"/>
      <c r="S154" s="3"/>
      <c r="T154" s="3" t="s">
        <v>1749</v>
      </c>
      <c r="U154" s="7"/>
      <c r="V154" s="3" t="s">
        <v>140</v>
      </c>
      <c r="W154" s="3" t="s">
        <v>1750</v>
      </c>
      <c r="X154" s="3" t="s">
        <v>1751</v>
      </c>
      <c r="Y154" s="3" t="s">
        <v>1752</v>
      </c>
      <c r="Z154" s="8" t="s">
        <v>1753</v>
      </c>
    </row>
    <row r="155" customFormat="false" ht="26.85" hidden="false" customHeight="false" outlineLevel="0" collapsed="false">
      <c r="A155" s="7" t="s">
        <v>1754</v>
      </c>
      <c r="B155" s="7" t="s">
        <v>1744</v>
      </c>
      <c r="C155" s="7"/>
      <c r="D155" s="7" t="n">
        <v>2016</v>
      </c>
      <c r="E155" s="3" t="s">
        <v>1755</v>
      </c>
      <c r="F155" s="7" t="s">
        <v>123</v>
      </c>
      <c r="G155" s="3" t="s">
        <v>124</v>
      </c>
      <c r="H155" s="7" t="s">
        <v>87</v>
      </c>
      <c r="I155" s="7" t="s">
        <v>125</v>
      </c>
      <c r="J155" s="7" t="s">
        <v>126</v>
      </c>
      <c r="K155" s="7" t="s">
        <v>1045</v>
      </c>
      <c r="L155" s="3" t="s">
        <v>1756</v>
      </c>
      <c r="M155" s="3" t="s">
        <v>1757</v>
      </c>
      <c r="N155" s="3"/>
      <c r="O155" s="3"/>
      <c r="P155" s="3" t="s">
        <v>1758</v>
      </c>
      <c r="Q155" s="7" t="s">
        <v>1759</v>
      </c>
      <c r="R155" s="7" t="n">
        <v>94</v>
      </c>
      <c r="S155" s="3" t="s">
        <v>1760</v>
      </c>
      <c r="T155" s="3" t="s">
        <v>1761</v>
      </c>
      <c r="U155" s="7"/>
      <c r="V155" s="3" t="s">
        <v>296</v>
      </c>
      <c r="W155" s="3" t="s">
        <v>1762</v>
      </c>
      <c r="X155" s="3" t="s">
        <v>1763</v>
      </c>
      <c r="Y155" s="3" t="s">
        <v>1764</v>
      </c>
      <c r="Z155" s="8" t="s">
        <v>1765</v>
      </c>
    </row>
    <row r="156" customFormat="false" ht="26.85" hidden="false" customHeight="false" outlineLevel="0" collapsed="false">
      <c r="A156" s="7" t="s">
        <v>1766</v>
      </c>
      <c r="B156" s="7" t="s">
        <v>1767</v>
      </c>
      <c r="C156" s="7"/>
      <c r="D156" s="7" t="n">
        <v>2016</v>
      </c>
      <c r="E156" s="3" t="s">
        <v>1768</v>
      </c>
      <c r="F156" s="7" t="s">
        <v>85</v>
      </c>
      <c r="G156" s="3" t="s">
        <v>86</v>
      </c>
      <c r="H156" s="7" t="s">
        <v>87</v>
      </c>
      <c r="I156" s="7" t="s">
        <v>666</v>
      </c>
      <c r="J156" s="7" t="s">
        <v>667</v>
      </c>
      <c r="K156" s="7" t="s">
        <v>668</v>
      </c>
      <c r="L156" s="3" t="s">
        <v>1155</v>
      </c>
      <c r="M156" s="3" t="s">
        <v>1769</v>
      </c>
      <c r="N156" s="3"/>
      <c r="O156" s="3"/>
      <c r="P156" s="3"/>
      <c r="Q156" s="7"/>
      <c r="R156" s="7"/>
      <c r="S156" s="3"/>
      <c r="T156" s="3" t="s">
        <v>1770</v>
      </c>
      <c r="U156" s="7"/>
      <c r="V156" s="3" t="s">
        <v>85</v>
      </c>
      <c r="W156" s="3" t="s">
        <v>1771</v>
      </c>
      <c r="X156" s="3" t="s">
        <v>1772</v>
      </c>
      <c r="Y156" s="3" t="s">
        <v>1773</v>
      </c>
      <c r="Z156" s="8" t="s">
        <v>1774</v>
      </c>
    </row>
    <row r="157" customFormat="false" ht="26.85" hidden="false" customHeight="false" outlineLevel="0" collapsed="false">
      <c r="A157" s="7" t="s">
        <v>1775</v>
      </c>
      <c r="B157" s="7" t="s">
        <v>1648</v>
      </c>
      <c r="C157" s="7"/>
      <c r="D157" s="7" t="n">
        <v>2016</v>
      </c>
      <c r="E157" s="3" t="s">
        <v>1776</v>
      </c>
      <c r="F157" s="7" t="s">
        <v>140</v>
      </c>
      <c r="G157" s="3" t="s">
        <v>141</v>
      </c>
      <c r="H157" s="7" t="s">
        <v>87</v>
      </c>
      <c r="I157" s="7" t="s">
        <v>1341</v>
      </c>
      <c r="J157" s="7" t="s">
        <v>1342</v>
      </c>
      <c r="K157" s="7" t="s">
        <v>274</v>
      </c>
      <c r="L157" s="3" t="s">
        <v>1777</v>
      </c>
      <c r="M157" s="3" t="s">
        <v>1778</v>
      </c>
      <c r="N157" s="3"/>
      <c r="O157" s="3"/>
      <c r="P157" s="3"/>
      <c r="Q157" s="7"/>
      <c r="R157" s="7"/>
      <c r="S157" s="3"/>
      <c r="T157" s="3" t="s">
        <v>1779</v>
      </c>
      <c r="U157" s="7"/>
      <c r="V157" s="3" t="s">
        <v>140</v>
      </c>
      <c r="W157" s="3" t="s">
        <v>1780</v>
      </c>
      <c r="X157" s="3" t="s">
        <v>1781</v>
      </c>
      <c r="Y157" s="3" t="s">
        <v>1782</v>
      </c>
      <c r="Z157" s="8" t="s">
        <v>1783</v>
      </c>
    </row>
    <row r="158" customFormat="false" ht="26.85" hidden="false" customHeight="false" outlineLevel="0" collapsed="false">
      <c r="A158" s="7" t="s">
        <v>1784</v>
      </c>
      <c r="B158" s="7" t="s">
        <v>1759</v>
      </c>
      <c r="C158" s="7"/>
      <c r="D158" s="7" t="n">
        <v>2016</v>
      </c>
      <c r="E158" s="3" t="s">
        <v>1785</v>
      </c>
      <c r="F158" s="7" t="s">
        <v>85</v>
      </c>
      <c r="G158" s="3" t="s">
        <v>86</v>
      </c>
      <c r="H158" s="7" t="s">
        <v>100</v>
      </c>
      <c r="I158" s="7" t="s">
        <v>101</v>
      </c>
      <c r="J158" s="7" t="s">
        <v>102</v>
      </c>
      <c r="K158" s="7" t="s">
        <v>103</v>
      </c>
      <c r="L158" s="3"/>
      <c r="M158" s="3" t="s">
        <v>1786</v>
      </c>
      <c r="N158" s="3"/>
      <c r="O158" s="3"/>
      <c r="P158" s="3"/>
      <c r="Q158" s="7"/>
      <c r="R158" s="7"/>
      <c r="S158" s="3"/>
      <c r="T158" s="3" t="s">
        <v>1787</v>
      </c>
      <c r="U158" s="7"/>
      <c r="V158" s="3" t="s">
        <v>85</v>
      </c>
      <c r="W158" s="3" t="s">
        <v>1788</v>
      </c>
      <c r="X158" s="3" t="s">
        <v>1789</v>
      </c>
      <c r="Y158" s="3" t="s">
        <v>1790</v>
      </c>
      <c r="Z158" s="8" t="s">
        <v>1791</v>
      </c>
    </row>
    <row r="159" customFormat="false" ht="77.6" hidden="false" customHeight="false" outlineLevel="0" collapsed="false">
      <c r="A159" s="7" t="s">
        <v>1792</v>
      </c>
      <c r="B159" s="7" t="s">
        <v>1759</v>
      </c>
      <c r="C159" s="7"/>
      <c r="D159" s="7" t="n">
        <v>2016</v>
      </c>
      <c r="E159" s="3" t="s">
        <v>1793</v>
      </c>
      <c r="F159" s="7" t="s">
        <v>123</v>
      </c>
      <c r="G159" s="3" t="s">
        <v>124</v>
      </c>
      <c r="H159" s="7" t="s">
        <v>100</v>
      </c>
      <c r="I159" s="7" t="s">
        <v>101</v>
      </c>
      <c r="J159" s="7" t="s">
        <v>102</v>
      </c>
      <c r="K159" s="7" t="s">
        <v>103</v>
      </c>
      <c r="L159" s="3" t="s">
        <v>1794</v>
      </c>
      <c r="M159" s="3" t="s">
        <v>1795</v>
      </c>
      <c r="N159" s="3" t="s">
        <v>1796</v>
      </c>
      <c r="O159" s="3" t="s">
        <v>1797</v>
      </c>
      <c r="P159" s="3" t="s">
        <v>1798</v>
      </c>
      <c r="Q159" s="7" t="s">
        <v>1724</v>
      </c>
      <c r="R159" s="7" t="n">
        <v>286</v>
      </c>
      <c r="S159" s="3" t="s">
        <v>1799</v>
      </c>
      <c r="T159" s="3" t="s">
        <v>1800</v>
      </c>
      <c r="U159" s="7"/>
      <c r="V159" s="3" t="s">
        <v>296</v>
      </c>
      <c r="W159" s="3" t="s">
        <v>1801</v>
      </c>
      <c r="X159" s="3" t="s">
        <v>1802</v>
      </c>
      <c r="Y159" s="3" t="s">
        <v>1803</v>
      </c>
      <c r="Z159" s="8" t="s">
        <v>1804</v>
      </c>
    </row>
    <row r="160" customFormat="false" ht="26.85" hidden="false" customHeight="false" outlineLevel="0" collapsed="false">
      <c r="A160" s="7" t="s">
        <v>1805</v>
      </c>
      <c r="B160" s="7" t="s">
        <v>1759</v>
      </c>
      <c r="C160" s="7"/>
      <c r="D160" s="7" t="n">
        <v>2016</v>
      </c>
      <c r="E160" s="3" t="s">
        <v>1806</v>
      </c>
      <c r="F160" s="7" t="s">
        <v>140</v>
      </c>
      <c r="G160" s="3" t="s">
        <v>141</v>
      </c>
      <c r="H160" s="7" t="s">
        <v>87</v>
      </c>
      <c r="I160" s="7" t="s">
        <v>331</v>
      </c>
      <c r="J160" s="7" t="s">
        <v>332</v>
      </c>
      <c r="K160" s="7" t="s">
        <v>333</v>
      </c>
      <c r="L160" s="3" t="s">
        <v>466</v>
      </c>
      <c r="M160" s="3" t="s">
        <v>1807</v>
      </c>
      <c r="N160" s="3"/>
      <c r="O160" s="3" t="s">
        <v>1808</v>
      </c>
      <c r="P160" s="3"/>
      <c r="Q160" s="7"/>
      <c r="R160" s="7"/>
      <c r="S160" s="3"/>
      <c r="T160" s="3" t="s">
        <v>1809</v>
      </c>
      <c r="U160" s="7"/>
      <c r="V160" s="3" t="s">
        <v>296</v>
      </c>
      <c r="W160" s="3" t="s">
        <v>1810</v>
      </c>
      <c r="X160" s="3" t="s">
        <v>1811</v>
      </c>
      <c r="Y160" s="3" t="s">
        <v>1812</v>
      </c>
      <c r="Z160" s="8" t="s">
        <v>1813</v>
      </c>
    </row>
    <row r="161" customFormat="false" ht="26.85" hidden="false" customHeight="false" outlineLevel="0" collapsed="false">
      <c r="A161" s="7" t="s">
        <v>1814</v>
      </c>
      <c r="B161" s="7" t="s">
        <v>1815</v>
      </c>
      <c r="C161" s="7"/>
      <c r="D161" s="7" t="n">
        <v>2016</v>
      </c>
      <c r="E161" s="3" t="s">
        <v>1816</v>
      </c>
      <c r="F161" s="7" t="s">
        <v>123</v>
      </c>
      <c r="G161" s="3" t="s">
        <v>124</v>
      </c>
      <c r="H161" s="7" t="s">
        <v>87</v>
      </c>
      <c r="I161" s="7" t="s">
        <v>666</v>
      </c>
      <c r="J161" s="7" t="s">
        <v>667</v>
      </c>
      <c r="K161" s="7" t="s">
        <v>668</v>
      </c>
      <c r="L161" s="3" t="s">
        <v>1155</v>
      </c>
      <c r="M161" s="3" t="s">
        <v>1817</v>
      </c>
      <c r="N161" s="3" t="s">
        <v>1818</v>
      </c>
      <c r="O161" s="3" t="s">
        <v>1819</v>
      </c>
      <c r="P161" s="3" t="s">
        <v>1798</v>
      </c>
      <c r="Q161" s="7" t="s">
        <v>1724</v>
      </c>
      <c r="R161" s="7" t="n">
        <v>179</v>
      </c>
      <c r="S161" s="3" t="s">
        <v>1820</v>
      </c>
      <c r="T161" s="3" t="s">
        <v>1821</v>
      </c>
      <c r="U161" s="7"/>
      <c r="V161" s="3" t="s">
        <v>296</v>
      </c>
      <c r="W161" s="3" t="s">
        <v>1822</v>
      </c>
      <c r="X161" s="3" t="s">
        <v>1823</v>
      </c>
      <c r="Y161" s="3" t="s">
        <v>1824</v>
      </c>
      <c r="Z161" s="8" t="s">
        <v>1825</v>
      </c>
    </row>
    <row r="162" customFormat="false" ht="26.85" hidden="false" customHeight="false" outlineLevel="0" collapsed="false">
      <c r="A162" s="7" t="s">
        <v>1826</v>
      </c>
      <c r="B162" s="7" t="s">
        <v>1827</v>
      </c>
      <c r="C162" s="7"/>
      <c r="D162" s="7" t="n">
        <v>2016</v>
      </c>
      <c r="E162" s="3" t="s">
        <v>1828</v>
      </c>
      <c r="F162" s="7" t="s">
        <v>123</v>
      </c>
      <c r="G162" s="3" t="s">
        <v>124</v>
      </c>
      <c r="H162" s="7" t="s">
        <v>87</v>
      </c>
      <c r="I162" s="7" t="s">
        <v>666</v>
      </c>
      <c r="J162" s="7" t="s">
        <v>667</v>
      </c>
      <c r="K162" s="7" t="s">
        <v>668</v>
      </c>
      <c r="L162" s="3" t="s">
        <v>1155</v>
      </c>
      <c r="M162" s="3" t="s">
        <v>1829</v>
      </c>
      <c r="N162" s="3" t="s">
        <v>1830</v>
      </c>
      <c r="O162" s="3"/>
      <c r="P162" s="3" t="s">
        <v>1798</v>
      </c>
      <c r="Q162" s="7" t="s">
        <v>1724</v>
      </c>
      <c r="R162" s="7" t="n">
        <v>124</v>
      </c>
      <c r="S162" s="3" t="s">
        <v>1820</v>
      </c>
      <c r="T162" s="3" t="s">
        <v>1831</v>
      </c>
      <c r="U162" s="7"/>
      <c r="V162" s="3" t="s">
        <v>296</v>
      </c>
      <c r="W162" s="3" t="s">
        <v>1832</v>
      </c>
      <c r="X162" s="3" t="s">
        <v>1833</v>
      </c>
      <c r="Y162" s="3" t="s">
        <v>1834</v>
      </c>
      <c r="Z162" s="8" t="s">
        <v>1835</v>
      </c>
    </row>
    <row r="163" customFormat="false" ht="39.55" hidden="false" customHeight="false" outlineLevel="0" collapsed="false">
      <c r="A163" s="7" t="s">
        <v>1836</v>
      </c>
      <c r="B163" s="7" t="s">
        <v>1837</v>
      </c>
      <c r="C163" s="7"/>
      <c r="D163" s="7" t="n">
        <v>2016</v>
      </c>
      <c r="E163" s="3" t="s">
        <v>1838</v>
      </c>
      <c r="F163" s="7" t="s">
        <v>140</v>
      </c>
      <c r="G163" s="3" t="s">
        <v>141</v>
      </c>
      <c r="H163" s="7" t="s">
        <v>100</v>
      </c>
      <c r="I163" s="7" t="s">
        <v>101</v>
      </c>
      <c r="J163" s="7" t="s">
        <v>102</v>
      </c>
      <c r="K163" s="7" t="s">
        <v>103</v>
      </c>
      <c r="L163" s="3" t="s">
        <v>1839</v>
      </c>
      <c r="M163" s="3" t="s">
        <v>1840</v>
      </c>
      <c r="N163" s="3" t="s">
        <v>1841</v>
      </c>
      <c r="O163" s="3" t="s">
        <v>1842</v>
      </c>
      <c r="P163" s="3"/>
      <c r="Q163" s="7"/>
      <c r="R163" s="7"/>
      <c r="S163" s="3"/>
      <c r="T163" s="3" t="s">
        <v>1843</v>
      </c>
      <c r="U163" s="7"/>
      <c r="V163" s="3" t="s">
        <v>140</v>
      </c>
      <c r="W163" s="3" t="s">
        <v>1844</v>
      </c>
      <c r="X163" s="3" t="s">
        <v>1845</v>
      </c>
      <c r="Y163" s="3" t="s">
        <v>1029</v>
      </c>
      <c r="Z163" s="8" t="s">
        <v>1030</v>
      </c>
    </row>
    <row r="164" customFormat="false" ht="26.85" hidden="false" customHeight="false" outlineLevel="0" collapsed="false">
      <c r="A164" s="7" t="s">
        <v>1846</v>
      </c>
      <c r="B164" s="7" t="s">
        <v>1724</v>
      </c>
      <c r="C164" s="7"/>
      <c r="D164" s="7" t="n">
        <v>2017</v>
      </c>
      <c r="E164" s="3" t="s">
        <v>1847</v>
      </c>
      <c r="F164" s="7" t="s">
        <v>123</v>
      </c>
      <c r="G164" s="3" t="s">
        <v>124</v>
      </c>
      <c r="H164" s="7" t="s">
        <v>100</v>
      </c>
      <c r="I164" s="7" t="s">
        <v>88</v>
      </c>
      <c r="J164" s="7" t="s">
        <v>89</v>
      </c>
      <c r="K164" s="7" t="s">
        <v>103</v>
      </c>
      <c r="L164" s="3" t="s">
        <v>1848</v>
      </c>
      <c r="M164" s="3" t="s">
        <v>1849</v>
      </c>
      <c r="N164" s="3"/>
      <c r="O164" s="3"/>
      <c r="P164" s="3" t="s">
        <v>1850</v>
      </c>
      <c r="Q164" s="7" t="s">
        <v>1851</v>
      </c>
      <c r="R164" s="7" t="n">
        <v>311</v>
      </c>
      <c r="S164" s="3" t="s">
        <v>1852</v>
      </c>
      <c r="T164" s="3" t="s">
        <v>1853</v>
      </c>
      <c r="U164" s="7"/>
      <c r="V164" s="3" t="s">
        <v>123</v>
      </c>
      <c r="W164" s="3" t="s">
        <v>1854</v>
      </c>
      <c r="X164" s="3" t="s">
        <v>1855</v>
      </c>
      <c r="Y164" s="3" t="s">
        <v>1856</v>
      </c>
      <c r="Z164" s="8" t="s">
        <v>1857</v>
      </c>
    </row>
    <row r="165" customFormat="false" ht="26.85" hidden="false" customHeight="false" outlineLevel="0" collapsed="false">
      <c r="A165" s="7" t="s">
        <v>1858</v>
      </c>
      <c r="B165" s="7" t="s">
        <v>1724</v>
      </c>
      <c r="C165" s="7"/>
      <c r="D165" s="7" t="n">
        <v>2017</v>
      </c>
      <c r="E165" s="3" t="s">
        <v>1859</v>
      </c>
      <c r="F165" s="7" t="s">
        <v>123</v>
      </c>
      <c r="G165" s="3" t="s">
        <v>124</v>
      </c>
      <c r="H165" s="7" t="s">
        <v>100</v>
      </c>
      <c r="I165" s="7" t="s">
        <v>101</v>
      </c>
      <c r="J165" s="7" t="s">
        <v>102</v>
      </c>
      <c r="K165" s="7" t="s">
        <v>103</v>
      </c>
      <c r="L165" s="3" t="s">
        <v>1848</v>
      </c>
      <c r="M165" s="3" t="s">
        <v>1860</v>
      </c>
      <c r="N165" s="3"/>
      <c r="O165" s="3"/>
      <c r="P165" s="3" t="s">
        <v>1861</v>
      </c>
      <c r="Q165" s="7" t="s">
        <v>1724</v>
      </c>
      <c r="R165" s="7" t="n">
        <v>3</v>
      </c>
      <c r="S165" s="3" t="s">
        <v>1862</v>
      </c>
      <c r="T165" s="3" t="s">
        <v>1863</v>
      </c>
      <c r="U165" s="7"/>
      <c r="V165" s="3" t="s">
        <v>123</v>
      </c>
      <c r="W165" s="3" t="s">
        <v>1864</v>
      </c>
      <c r="X165" s="3" t="s">
        <v>1865</v>
      </c>
      <c r="Y165" s="3" t="s">
        <v>1866</v>
      </c>
      <c r="Z165" s="8" t="s">
        <v>1867</v>
      </c>
    </row>
    <row r="166" customFormat="false" ht="39.55" hidden="false" customHeight="false" outlineLevel="0" collapsed="false">
      <c r="A166" s="7" t="s">
        <v>1868</v>
      </c>
      <c r="B166" s="7" t="s">
        <v>1869</v>
      </c>
      <c r="C166" s="7"/>
      <c r="D166" s="7" t="n">
        <v>2017</v>
      </c>
      <c r="E166" s="3" t="s">
        <v>1870</v>
      </c>
      <c r="F166" s="7" t="s">
        <v>123</v>
      </c>
      <c r="G166" s="3" t="s">
        <v>124</v>
      </c>
      <c r="H166" s="7" t="s">
        <v>87</v>
      </c>
      <c r="I166" s="7" t="s">
        <v>1233</v>
      </c>
      <c r="J166" s="7" t="s">
        <v>1234</v>
      </c>
      <c r="K166" s="7" t="s">
        <v>274</v>
      </c>
      <c r="L166" s="3" t="s">
        <v>1871</v>
      </c>
      <c r="M166" s="3" t="s">
        <v>1872</v>
      </c>
      <c r="N166" s="3" t="s">
        <v>1873</v>
      </c>
      <c r="O166" s="3" t="s">
        <v>1874</v>
      </c>
      <c r="P166" s="3" t="s">
        <v>1875</v>
      </c>
      <c r="Q166" s="7" t="s">
        <v>1876</v>
      </c>
      <c r="R166" s="7" t="n">
        <v>211</v>
      </c>
      <c r="S166" s="3" t="s">
        <v>1877</v>
      </c>
      <c r="T166" s="3" t="s">
        <v>1878</v>
      </c>
      <c r="U166" s="7"/>
      <c r="V166" s="3" t="s">
        <v>296</v>
      </c>
      <c r="W166" s="3" t="s">
        <v>1879</v>
      </c>
      <c r="X166" s="3" t="s">
        <v>1880</v>
      </c>
      <c r="Y166" s="3" t="s">
        <v>1881</v>
      </c>
      <c r="Z166" s="8" t="s">
        <v>1882</v>
      </c>
    </row>
    <row r="167" customFormat="false" ht="26.85" hidden="false" customHeight="false" outlineLevel="0" collapsed="false">
      <c r="A167" s="7" t="s">
        <v>1883</v>
      </c>
      <c r="B167" s="7" t="s">
        <v>1869</v>
      </c>
      <c r="C167" s="7"/>
      <c r="D167" s="7" t="n">
        <v>2017</v>
      </c>
      <c r="E167" s="3" t="s">
        <v>1884</v>
      </c>
      <c r="F167" s="7" t="s">
        <v>140</v>
      </c>
      <c r="G167" s="3" t="s">
        <v>141</v>
      </c>
      <c r="H167" s="7" t="s">
        <v>87</v>
      </c>
      <c r="I167" s="7" t="s">
        <v>666</v>
      </c>
      <c r="J167" s="7" t="s">
        <v>667</v>
      </c>
      <c r="K167" s="7" t="s">
        <v>90</v>
      </c>
      <c r="L167" s="3" t="s">
        <v>1885</v>
      </c>
      <c r="M167" s="3" t="s">
        <v>1886</v>
      </c>
      <c r="N167" s="3" t="s">
        <v>1887</v>
      </c>
      <c r="O167" s="3" t="s">
        <v>1888</v>
      </c>
      <c r="P167" s="3"/>
      <c r="Q167" s="7"/>
      <c r="R167" s="7"/>
      <c r="S167" s="3"/>
      <c r="T167" s="3" t="s">
        <v>1889</v>
      </c>
      <c r="U167" s="7"/>
      <c r="V167" s="3" t="s">
        <v>140</v>
      </c>
      <c r="W167" s="3" t="s">
        <v>1890</v>
      </c>
      <c r="X167" s="3" t="s">
        <v>1891</v>
      </c>
      <c r="Y167" s="3" t="s">
        <v>1892</v>
      </c>
      <c r="Z167" s="8" t="s">
        <v>1893</v>
      </c>
    </row>
    <row r="168" customFormat="false" ht="26.85" hidden="false" customHeight="false" outlineLevel="0" collapsed="false">
      <c r="A168" s="7" t="s">
        <v>1894</v>
      </c>
      <c r="B168" s="7" t="s">
        <v>1895</v>
      </c>
      <c r="C168" s="7"/>
      <c r="D168" s="7" t="n">
        <v>2017</v>
      </c>
      <c r="E168" s="3" t="s">
        <v>1896</v>
      </c>
      <c r="F168" s="7" t="s">
        <v>123</v>
      </c>
      <c r="G168" s="3" t="s">
        <v>124</v>
      </c>
      <c r="H168" s="7" t="s">
        <v>87</v>
      </c>
      <c r="I168" s="7" t="s">
        <v>382</v>
      </c>
      <c r="J168" s="7" t="s">
        <v>383</v>
      </c>
      <c r="K168" s="7" t="s">
        <v>274</v>
      </c>
      <c r="L168" s="3" t="s">
        <v>1318</v>
      </c>
      <c r="M168" s="3" t="s">
        <v>1897</v>
      </c>
      <c r="N168" s="3" t="s">
        <v>1898</v>
      </c>
      <c r="O168" s="3" t="s">
        <v>1899</v>
      </c>
      <c r="P168" s="3" t="s">
        <v>1900</v>
      </c>
      <c r="Q168" s="7" t="s">
        <v>1901</v>
      </c>
      <c r="R168" s="7" t="n">
        <v>325</v>
      </c>
      <c r="S168" s="3" t="s">
        <v>1902</v>
      </c>
      <c r="T168" s="3" t="s">
        <v>1903</v>
      </c>
      <c r="U168" s="7"/>
      <c r="V168" s="3" t="s">
        <v>296</v>
      </c>
      <c r="W168" s="3" t="s">
        <v>1904</v>
      </c>
      <c r="X168" s="3" t="s">
        <v>1905</v>
      </c>
      <c r="Y168" s="3" t="s">
        <v>1906</v>
      </c>
      <c r="Z168" s="8" t="s">
        <v>1907</v>
      </c>
    </row>
    <row r="169" customFormat="false" ht="26.85" hidden="false" customHeight="false" outlineLevel="0" collapsed="false">
      <c r="A169" s="7" t="s">
        <v>1908</v>
      </c>
      <c r="B169" s="7" t="s">
        <v>1895</v>
      </c>
      <c r="C169" s="7"/>
      <c r="D169" s="7" t="n">
        <v>2017</v>
      </c>
      <c r="E169" s="3" t="s">
        <v>1909</v>
      </c>
      <c r="F169" s="7" t="s">
        <v>140</v>
      </c>
      <c r="G169" s="3" t="s">
        <v>141</v>
      </c>
      <c r="H169" s="7" t="s">
        <v>87</v>
      </c>
      <c r="I169" s="7" t="s">
        <v>502</v>
      </c>
      <c r="J169" s="7" t="s">
        <v>503</v>
      </c>
      <c r="K169" s="7" t="s">
        <v>90</v>
      </c>
      <c r="L169" s="3" t="s">
        <v>1910</v>
      </c>
      <c r="M169" s="3" t="s">
        <v>1911</v>
      </c>
      <c r="N169" s="3" t="s">
        <v>1912</v>
      </c>
      <c r="O169" s="3" t="s">
        <v>1913</v>
      </c>
      <c r="P169" s="3"/>
      <c r="Q169" s="7"/>
      <c r="R169" s="7"/>
      <c r="S169" s="3"/>
      <c r="T169" s="3" t="s">
        <v>1914</v>
      </c>
      <c r="U169" s="7"/>
      <c r="V169" s="3" t="s">
        <v>140</v>
      </c>
      <c r="W169" s="3" t="s">
        <v>1915</v>
      </c>
      <c r="X169" s="3" t="s">
        <v>1916</v>
      </c>
      <c r="Y169" s="3" t="s">
        <v>1917</v>
      </c>
      <c r="Z169" s="8" t="s">
        <v>1918</v>
      </c>
    </row>
    <row r="170" customFormat="false" ht="26.85" hidden="false" customHeight="false" outlineLevel="0" collapsed="false">
      <c r="A170" s="7" t="s">
        <v>1919</v>
      </c>
      <c r="B170" s="7" t="s">
        <v>1920</v>
      </c>
      <c r="C170" s="7"/>
      <c r="D170" s="7" t="n">
        <v>2017</v>
      </c>
      <c r="E170" s="3" t="s">
        <v>1921</v>
      </c>
      <c r="F170" s="7" t="s">
        <v>123</v>
      </c>
      <c r="G170" s="3" t="s">
        <v>124</v>
      </c>
      <c r="H170" s="7" t="s">
        <v>87</v>
      </c>
      <c r="I170" s="7" t="s">
        <v>382</v>
      </c>
      <c r="J170" s="7" t="s">
        <v>383</v>
      </c>
      <c r="K170" s="7" t="s">
        <v>274</v>
      </c>
      <c r="L170" s="3" t="s">
        <v>1318</v>
      </c>
      <c r="M170" s="3" t="s">
        <v>1922</v>
      </c>
      <c r="N170" s="3" t="s">
        <v>1923</v>
      </c>
      <c r="O170" s="3"/>
      <c r="P170" s="3" t="s">
        <v>1900</v>
      </c>
      <c r="Q170" s="7" t="s">
        <v>1901</v>
      </c>
      <c r="R170" s="7" t="n">
        <v>269</v>
      </c>
      <c r="S170" s="3" t="s">
        <v>1924</v>
      </c>
      <c r="T170" s="3" t="s">
        <v>1925</v>
      </c>
      <c r="U170" s="7"/>
      <c r="V170" s="3" t="s">
        <v>296</v>
      </c>
      <c r="W170" s="3" t="s">
        <v>1926</v>
      </c>
      <c r="X170" s="3" t="s">
        <v>1927</v>
      </c>
      <c r="Y170" s="3" t="s">
        <v>1928</v>
      </c>
      <c r="Z170" s="8" t="s">
        <v>1929</v>
      </c>
    </row>
    <row r="171" customFormat="false" ht="26.85" hidden="false" customHeight="false" outlineLevel="0" collapsed="false">
      <c r="A171" s="7" t="s">
        <v>1930</v>
      </c>
      <c r="B171" s="7" t="s">
        <v>1931</v>
      </c>
      <c r="C171" s="7"/>
      <c r="D171" s="7" t="n">
        <v>2018</v>
      </c>
      <c r="E171" s="3" t="s">
        <v>1932</v>
      </c>
      <c r="F171" s="7" t="s">
        <v>140</v>
      </c>
      <c r="G171" s="3" t="s">
        <v>141</v>
      </c>
      <c r="H171" s="7" t="s">
        <v>87</v>
      </c>
      <c r="I171" s="7" t="s">
        <v>1933</v>
      </c>
      <c r="J171" s="7" t="s">
        <v>1934</v>
      </c>
      <c r="K171" s="7" t="s">
        <v>90</v>
      </c>
      <c r="L171" s="3" t="s">
        <v>1935</v>
      </c>
      <c r="M171" s="3" t="s">
        <v>1936</v>
      </c>
      <c r="N171" s="3" t="s">
        <v>1937</v>
      </c>
      <c r="O171" s="3"/>
      <c r="P171" s="3"/>
      <c r="Q171" s="7"/>
      <c r="R171" s="7"/>
      <c r="S171" s="3"/>
      <c r="T171" s="3" t="s">
        <v>1938</v>
      </c>
      <c r="U171" s="7"/>
      <c r="V171" s="3" t="s">
        <v>140</v>
      </c>
      <c r="W171" s="3" t="s">
        <v>1939</v>
      </c>
      <c r="X171" s="3" t="s">
        <v>1940</v>
      </c>
      <c r="Y171" s="3" t="s">
        <v>1941</v>
      </c>
      <c r="Z171" s="8" t="s">
        <v>1942</v>
      </c>
    </row>
    <row r="172" customFormat="false" ht="26.85" hidden="false" customHeight="false" outlineLevel="0" collapsed="false">
      <c r="A172" s="7" t="s">
        <v>1943</v>
      </c>
      <c r="B172" s="7" t="s">
        <v>1944</v>
      </c>
      <c r="C172" s="7"/>
      <c r="D172" s="7" t="n">
        <v>2018</v>
      </c>
      <c r="E172" s="3" t="s">
        <v>1945</v>
      </c>
      <c r="F172" s="7" t="s">
        <v>140</v>
      </c>
      <c r="G172" s="3" t="s">
        <v>141</v>
      </c>
      <c r="H172" s="7" t="s">
        <v>87</v>
      </c>
      <c r="I172" s="7" t="s">
        <v>304</v>
      </c>
      <c r="J172" s="7" t="s">
        <v>305</v>
      </c>
      <c r="K172" s="7" t="s">
        <v>274</v>
      </c>
      <c r="L172" s="3" t="s">
        <v>306</v>
      </c>
      <c r="M172" s="3" t="s">
        <v>1946</v>
      </c>
      <c r="N172" s="3" t="s">
        <v>1947</v>
      </c>
      <c r="O172" s="3" t="s">
        <v>1948</v>
      </c>
      <c r="P172" s="3"/>
      <c r="Q172" s="7"/>
      <c r="R172" s="7"/>
      <c r="S172" s="3"/>
      <c r="T172" s="3" t="s">
        <v>1949</v>
      </c>
      <c r="U172" s="7"/>
      <c r="V172" s="3" t="s">
        <v>140</v>
      </c>
      <c r="W172" s="3" t="s">
        <v>1950</v>
      </c>
      <c r="X172" s="3" t="s">
        <v>1951</v>
      </c>
      <c r="Y172" s="3" t="s">
        <v>1952</v>
      </c>
      <c r="Z172" s="8" t="s">
        <v>1953</v>
      </c>
    </row>
    <row r="173" customFormat="false" ht="26.85" hidden="false" customHeight="false" outlineLevel="0" collapsed="false">
      <c r="A173" s="7" t="s">
        <v>1954</v>
      </c>
      <c r="B173" s="7" t="s">
        <v>1944</v>
      </c>
      <c r="C173" s="7"/>
      <c r="D173" s="7" t="n">
        <v>2018</v>
      </c>
      <c r="E173" s="3" t="s">
        <v>1955</v>
      </c>
      <c r="F173" s="7" t="s">
        <v>140</v>
      </c>
      <c r="G173" s="3" t="s">
        <v>141</v>
      </c>
      <c r="H173" s="7" t="s">
        <v>87</v>
      </c>
      <c r="I173" s="7" t="s">
        <v>941</v>
      </c>
      <c r="J173" s="7" t="s">
        <v>942</v>
      </c>
      <c r="K173" s="7" t="s">
        <v>1413</v>
      </c>
      <c r="L173" s="3" t="s">
        <v>1956</v>
      </c>
      <c r="M173" s="3" t="s">
        <v>1957</v>
      </c>
      <c r="N173" s="3" t="s">
        <v>1958</v>
      </c>
      <c r="O173" s="3" t="s">
        <v>1959</v>
      </c>
      <c r="P173" s="3"/>
      <c r="Q173" s="7"/>
      <c r="R173" s="7"/>
      <c r="S173" s="3"/>
      <c r="T173" s="3" t="s">
        <v>1960</v>
      </c>
      <c r="U173" s="7"/>
      <c r="V173" s="3" t="s">
        <v>140</v>
      </c>
      <c r="W173" s="3" t="s">
        <v>1961</v>
      </c>
      <c r="X173" s="3" t="s">
        <v>1962</v>
      </c>
      <c r="Y173" s="3" t="s">
        <v>1421</v>
      </c>
      <c r="Z173" s="8" t="s">
        <v>1422</v>
      </c>
    </row>
    <row r="174" customFormat="false" ht="26.85" hidden="false" customHeight="false" outlineLevel="0" collapsed="false">
      <c r="A174" s="7" t="s">
        <v>1963</v>
      </c>
      <c r="B174" s="7" t="s">
        <v>1964</v>
      </c>
      <c r="C174" s="7"/>
      <c r="D174" s="7" t="n">
        <v>2018</v>
      </c>
      <c r="E174" s="3" t="s">
        <v>1965</v>
      </c>
      <c r="F174" s="7" t="s">
        <v>123</v>
      </c>
      <c r="G174" s="3" t="s">
        <v>124</v>
      </c>
      <c r="H174" s="7" t="s">
        <v>100</v>
      </c>
      <c r="I174" s="7" t="s">
        <v>382</v>
      </c>
      <c r="J174" s="7" t="s">
        <v>383</v>
      </c>
      <c r="K174" s="7" t="s">
        <v>103</v>
      </c>
      <c r="L174" s="3" t="s">
        <v>1848</v>
      </c>
      <c r="M174" s="3" t="s">
        <v>1966</v>
      </c>
      <c r="N174" s="3"/>
      <c r="O174" s="3" t="s">
        <v>1967</v>
      </c>
      <c r="P174" s="3" t="s">
        <v>1900</v>
      </c>
      <c r="Q174" s="7" t="s">
        <v>1901</v>
      </c>
      <c r="R174" s="7" t="n">
        <v>100</v>
      </c>
      <c r="S174" s="3" t="s">
        <v>1968</v>
      </c>
      <c r="T174" s="3" t="s">
        <v>1969</v>
      </c>
      <c r="U174" s="7"/>
      <c r="V174" s="3" t="s">
        <v>123</v>
      </c>
      <c r="W174" s="3" t="s">
        <v>1970</v>
      </c>
      <c r="X174" s="3" t="s">
        <v>1971</v>
      </c>
      <c r="Y174" s="3" t="s">
        <v>1972</v>
      </c>
      <c r="Z174" s="8" t="s">
        <v>1973</v>
      </c>
    </row>
    <row r="175" customFormat="false" ht="26.85" hidden="false" customHeight="false" outlineLevel="0" collapsed="false">
      <c r="A175" s="7" t="s">
        <v>1974</v>
      </c>
      <c r="B175" s="7" t="s">
        <v>1964</v>
      </c>
      <c r="C175" s="7"/>
      <c r="D175" s="7" t="n">
        <v>2018</v>
      </c>
      <c r="E175" s="3" t="s">
        <v>1975</v>
      </c>
      <c r="F175" s="7" t="s">
        <v>123</v>
      </c>
      <c r="G175" s="3" t="s">
        <v>124</v>
      </c>
      <c r="H175" s="7" t="s">
        <v>87</v>
      </c>
      <c r="I175" s="7" t="s">
        <v>272</v>
      </c>
      <c r="J175" s="7" t="s">
        <v>273</v>
      </c>
      <c r="K175" s="7" t="s">
        <v>90</v>
      </c>
      <c r="L175" s="3" t="s">
        <v>766</v>
      </c>
      <c r="M175" s="3" t="s">
        <v>1976</v>
      </c>
      <c r="N175" s="3"/>
      <c r="O175" s="3" t="s">
        <v>1977</v>
      </c>
      <c r="P175" s="3" t="s">
        <v>1978</v>
      </c>
      <c r="Q175" s="7" t="s">
        <v>1979</v>
      </c>
      <c r="R175" s="7" t="n">
        <v>298</v>
      </c>
      <c r="S175" s="3" t="s">
        <v>1980</v>
      </c>
      <c r="T175" s="3" t="s">
        <v>1981</v>
      </c>
      <c r="U175" s="7"/>
      <c r="V175" s="3" t="s">
        <v>296</v>
      </c>
      <c r="W175" s="3" t="s">
        <v>1982</v>
      </c>
      <c r="X175" s="3" t="s">
        <v>1983</v>
      </c>
      <c r="Y175" s="3" t="s">
        <v>1984</v>
      </c>
      <c r="Z175" s="8" t="s">
        <v>1985</v>
      </c>
    </row>
    <row r="176" customFormat="false" ht="26.85" hidden="false" customHeight="false" outlineLevel="0" collapsed="false">
      <c r="A176" s="7" t="s">
        <v>1986</v>
      </c>
      <c r="B176" s="7" t="s">
        <v>1901</v>
      </c>
      <c r="C176" s="7"/>
      <c r="D176" s="7" t="n">
        <v>2018</v>
      </c>
      <c r="E176" s="3" t="s">
        <v>1987</v>
      </c>
      <c r="F176" s="7" t="s">
        <v>123</v>
      </c>
      <c r="G176" s="3" t="s">
        <v>124</v>
      </c>
      <c r="H176" s="7" t="s">
        <v>87</v>
      </c>
      <c r="I176" s="7" t="s">
        <v>1488</v>
      </c>
      <c r="J176" s="7" t="s">
        <v>1489</v>
      </c>
      <c r="K176" s="7" t="s">
        <v>1490</v>
      </c>
      <c r="L176" s="3" t="s">
        <v>1491</v>
      </c>
      <c r="M176" s="3" t="s">
        <v>1988</v>
      </c>
      <c r="N176" s="3" t="s">
        <v>1989</v>
      </c>
      <c r="O176" s="3" t="s">
        <v>1990</v>
      </c>
      <c r="P176" s="3" t="s">
        <v>1991</v>
      </c>
      <c r="Q176" s="7" t="s">
        <v>1979</v>
      </c>
      <c r="R176" s="7" t="n">
        <v>211</v>
      </c>
      <c r="S176" s="3" t="s">
        <v>1992</v>
      </c>
      <c r="T176" s="3" t="s">
        <v>1993</v>
      </c>
      <c r="U176" s="7"/>
      <c r="V176" s="3" t="s">
        <v>296</v>
      </c>
      <c r="W176" s="3" t="s">
        <v>1994</v>
      </c>
      <c r="X176" s="3" t="s">
        <v>1995</v>
      </c>
      <c r="Y176" s="3" t="s">
        <v>1996</v>
      </c>
      <c r="Z176" s="8" t="s">
        <v>1997</v>
      </c>
    </row>
    <row r="177" customFormat="false" ht="26.85" hidden="false" customHeight="false" outlineLevel="0" collapsed="false">
      <c r="A177" s="7" t="s">
        <v>1998</v>
      </c>
      <c r="B177" s="7" t="s">
        <v>1999</v>
      </c>
      <c r="C177" s="7"/>
      <c r="D177" s="7" t="n">
        <v>2018</v>
      </c>
      <c r="E177" s="3" t="s">
        <v>2000</v>
      </c>
      <c r="F177" s="7" t="s">
        <v>123</v>
      </c>
      <c r="G177" s="3" t="s">
        <v>124</v>
      </c>
      <c r="H177" s="7" t="s">
        <v>87</v>
      </c>
      <c r="I177" s="7" t="s">
        <v>317</v>
      </c>
      <c r="J177" s="7" t="s">
        <v>318</v>
      </c>
      <c r="K177" s="7" t="s">
        <v>90</v>
      </c>
      <c r="L177" s="3" t="s">
        <v>716</v>
      </c>
      <c r="M177" s="3" t="s">
        <v>2001</v>
      </c>
      <c r="N177" s="3" t="s">
        <v>2002</v>
      </c>
      <c r="O177" s="3"/>
      <c r="P177" s="3" t="s">
        <v>2003</v>
      </c>
      <c r="Q177" s="7" t="s">
        <v>2004</v>
      </c>
      <c r="R177" s="7" t="n">
        <v>176</v>
      </c>
      <c r="S177" s="3" t="s">
        <v>2005</v>
      </c>
      <c r="T177" s="3" t="s">
        <v>2006</v>
      </c>
      <c r="U177" s="7"/>
      <c r="V177" s="3" t="s">
        <v>296</v>
      </c>
      <c r="W177" s="3" t="s">
        <v>2007</v>
      </c>
      <c r="X177" s="3" t="s">
        <v>2008</v>
      </c>
      <c r="Y177" s="3" t="s">
        <v>2009</v>
      </c>
      <c r="Z177" s="8" t="s">
        <v>2010</v>
      </c>
    </row>
    <row r="178" customFormat="false" ht="26.85" hidden="false" customHeight="false" outlineLevel="0" collapsed="false">
      <c r="A178" s="7" t="s">
        <v>2011</v>
      </c>
      <c r="B178" s="7" t="s">
        <v>2012</v>
      </c>
      <c r="C178" s="7"/>
      <c r="D178" s="7" t="n">
        <v>2018</v>
      </c>
      <c r="E178" s="3" t="s">
        <v>2013</v>
      </c>
      <c r="F178" s="7" t="s">
        <v>123</v>
      </c>
      <c r="G178" s="3" t="s">
        <v>124</v>
      </c>
      <c r="H178" s="7" t="s">
        <v>87</v>
      </c>
      <c r="I178" s="7" t="s">
        <v>781</v>
      </c>
      <c r="J178" s="7" t="s">
        <v>782</v>
      </c>
      <c r="K178" s="7" t="s">
        <v>90</v>
      </c>
      <c r="L178" s="3" t="s">
        <v>783</v>
      </c>
      <c r="M178" s="3" t="s">
        <v>2014</v>
      </c>
      <c r="N178" s="3" t="s">
        <v>2015</v>
      </c>
      <c r="O178" s="3" t="s">
        <v>2016</v>
      </c>
      <c r="P178" s="3" t="s">
        <v>2017</v>
      </c>
      <c r="Q178" s="7" t="s">
        <v>2004</v>
      </c>
      <c r="R178" s="7" t="n">
        <v>109</v>
      </c>
      <c r="S178" s="3" t="s">
        <v>2018</v>
      </c>
      <c r="T178" s="3" t="s">
        <v>2019</v>
      </c>
      <c r="U178" s="7"/>
      <c r="V178" s="3" t="s">
        <v>296</v>
      </c>
      <c r="W178" s="3" t="s">
        <v>2020</v>
      </c>
      <c r="X178" s="3" t="s">
        <v>2021</v>
      </c>
      <c r="Y178" s="3" t="s">
        <v>2022</v>
      </c>
      <c r="Z178" s="8" t="s">
        <v>2023</v>
      </c>
    </row>
    <row r="179" customFormat="false" ht="26.85" hidden="false" customHeight="false" outlineLevel="0" collapsed="false">
      <c r="A179" s="7" t="s">
        <v>2024</v>
      </c>
      <c r="B179" s="7" t="s">
        <v>2012</v>
      </c>
      <c r="C179" s="7"/>
      <c r="D179" s="7" t="n">
        <v>2018</v>
      </c>
      <c r="E179" s="3" t="s">
        <v>2025</v>
      </c>
      <c r="F179" s="7" t="s">
        <v>140</v>
      </c>
      <c r="G179" s="3" t="s">
        <v>141</v>
      </c>
      <c r="H179" s="7" t="s">
        <v>87</v>
      </c>
      <c r="I179" s="7" t="s">
        <v>382</v>
      </c>
      <c r="J179" s="7" t="s">
        <v>383</v>
      </c>
      <c r="K179" s="7" t="s">
        <v>2026</v>
      </c>
      <c r="L179" s="3" t="s">
        <v>2027</v>
      </c>
      <c r="M179" s="3" t="s">
        <v>2028</v>
      </c>
      <c r="N179" s="3"/>
      <c r="O179" s="3" t="s">
        <v>2029</v>
      </c>
      <c r="P179" s="3"/>
      <c r="Q179" s="7"/>
      <c r="R179" s="7"/>
      <c r="S179" s="3"/>
      <c r="T179" s="3" t="s">
        <v>2030</v>
      </c>
      <c r="U179" s="7"/>
      <c r="V179" s="3" t="s">
        <v>140</v>
      </c>
      <c r="W179" s="3" t="s">
        <v>2031</v>
      </c>
      <c r="X179" s="3" t="s">
        <v>2032</v>
      </c>
      <c r="Y179" s="3" t="s">
        <v>2033</v>
      </c>
      <c r="Z179" s="8" t="s">
        <v>2034</v>
      </c>
    </row>
    <row r="180" customFormat="false" ht="39.55" hidden="false" customHeight="false" outlineLevel="0" collapsed="false">
      <c r="A180" s="7" t="s">
        <v>2035</v>
      </c>
      <c r="B180" s="7" t="s">
        <v>2036</v>
      </c>
      <c r="C180" s="7"/>
      <c r="D180" s="7" t="n">
        <v>2018</v>
      </c>
      <c r="E180" s="3" t="s">
        <v>2037</v>
      </c>
      <c r="F180" s="7" t="s">
        <v>85</v>
      </c>
      <c r="G180" s="3" t="s">
        <v>86</v>
      </c>
      <c r="H180" s="7" t="s">
        <v>87</v>
      </c>
      <c r="I180" s="7" t="s">
        <v>125</v>
      </c>
      <c r="J180" s="7" t="s">
        <v>126</v>
      </c>
      <c r="K180" s="7" t="s">
        <v>127</v>
      </c>
      <c r="L180" s="3" t="s">
        <v>2038</v>
      </c>
      <c r="M180" s="3" t="s">
        <v>2039</v>
      </c>
      <c r="N180" s="3"/>
      <c r="O180" s="3" t="s">
        <v>2040</v>
      </c>
      <c r="P180" s="3"/>
      <c r="Q180" s="7"/>
      <c r="R180" s="7"/>
      <c r="S180" s="3"/>
      <c r="T180" s="3" t="s">
        <v>2041</v>
      </c>
      <c r="U180" s="7"/>
      <c r="V180" s="3" t="s">
        <v>85</v>
      </c>
      <c r="W180" s="3" t="s">
        <v>2042</v>
      </c>
      <c r="X180" s="3" t="s">
        <v>2043</v>
      </c>
      <c r="Y180" s="3" t="s">
        <v>2044</v>
      </c>
      <c r="Z180" s="8" t="s">
        <v>2045</v>
      </c>
    </row>
    <row r="181" customFormat="false" ht="52.2" hidden="false" customHeight="false" outlineLevel="0" collapsed="false">
      <c r="A181" s="7" t="s">
        <v>2046</v>
      </c>
      <c r="B181" s="7" t="s">
        <v>2047</v>
      </c>
      <c r="C181" s="7"/>
      <c r="D181" s="7" t="n">
        <v>2018</v>
      </c>
      <c r="E181" s="3" t="s">
        <v>2048</v>
      </c>
      <c r="F181" s="7" t="s">
        <v>123</v>
      </c>
      <c r="G181" s="3" t="s">
        <v>124</v>
      </c>
      <c r="H181" s="7" t="s">
        <v>100</v>
      </c>
      <c r="I181" s="7" t="s">
        <v>101</v>
      </c>
      <c r="J181" s="7" t="s">
        <v>102</v>
      </c>
      <c r="K181" s="7" t="s">
        <v>103</v>
      </c>
      <c r="L181" s="3" t="s">
        <v>1535</v>
      </c>
      <c r="M181" s="3" t="s">
        <v>2049</v>
      </c>
      <c r="N181" s="3" t="s">
        <v>2050</v>
      </c>
      <c r="O181" s="3"/>
      <c r="P181" s="3" t="s">
        <v>2051</v>
      </c>
      <c r="Q181" s="7" t="s">
        <v>2004</v>
      </c>
      <c r="R181" s="7" t="n">
        <v>50</v>
      </c>
      <c r="S181" s="3" t="s">
        <v>2052</v>
      </c>
      <c r="T181" s="3" t="s">
        <v>2053</v>
      </c>
      <c r="U181" s="7"/>
      <c r="V181" s="3" t="s">
        <v>296</v>
      </c>
      <c r="W181" s="3" t="s">
        <v>2054</v>
      </c>
      <c r="X181" s="3" t="s">
        <v>2055</v>
      </c>
      <c r="Y181" s="3" t="s">
        <v>2056</v>
      </c>
      <c r="Z181" s="8" t="s">
        <v>2057</v>
      </c>
    </row>
    <row r="182" customFormat="false" ht="26.85" hidden="false" customHeight="false" outlineLevel="0" collapsed="false">
      <c r="A182" s="7" t="s">
        <v>2058</v>
      </c>
      <c r="B182" s="7" t="s">
        <v>2059</v>
      </c>
      <c r="C182" s="7"/>
      <c r="D182" s="7" t="n">
        <v>2018</v>
      </c>
      <c r="E182" s="3" t="s">
        <v>2060</v>
      </c>
      <c r="F182" s="7" t="s">
        <v>85</v>
      </c>
      <c r="G182" s="3" t="s">
        <v>86</v>
      </c>
      <c r="H182" s="7" t="s">
        <v>87</v>
      </c>
      <c r="I182" s="7" t="s">
        <v>225</v>
      </c>
      <c r="J182" s="7" t="s">
        <v>226</v>
      </c>
      <c r="K182" s="7" t="s">
        <v>227</v>
      </c>
      <c r="L182" s="3"/>
      <c r="M182" s="3" t="s">
        <v>2061</v>
      </c>
      <c r="N182" s="3"/>
      <c r="O182" s="3"/>
      <c r="P182" s="3"/>
      <c r="Q182" s="7"/>
      <c r="R182" s="7"/>
      <c r="S182" s="3"/>
      <c r="T182" s="3" t="s">
        <v>2062</v>
      </c>
      <c r="U182" s="7"/>
      <c r="V182" s="3" t="s">
        <v>85</v>
      </c>
      <c r="W182" s="3" t="s">
        <v>2063</v>
      </c>
      <c r="X182" s="3" t="s">
        <v>2064</v>
      </c>
      <c r="Y182" s="3" t="s">
        <v>2065</v>
      </c>
      <c r="Z182" s="8" t="s">
        <v>2066</v>
      </c>
    </row>
    <row r="183" customFormat="false" ht="26.85" hidden="false" customHeight="false" outlineLevel="0" collapsed="false">
      <c r="A183" s="7" t="s">
        <v>2067</v>
      </c>
      <c r="B183" s="7" t="s">
        <v>1979</v>
      </c>
      <c r="C183" s="7"/>
      <c r="D183" s="7" t="n">
        <v>2018</v>
      </c>
      <c r="E183" s="3" t="s">
        <v>2068</v>
      </c>
      <c r="F183" s="7" t="s">
        <v>85</v>
      </c>
      <c r="G183" s="3" t="s">
        <v>86</v>
      </c>
      <c r="H183" s="7" t="s">
        <v>100</v>
      </c>
      <c r="I183" s="7" t="s">
        <v>125</v>
      </c>
      <c r="J183" s="7" t="s">
        <v>126</v>
      </c>
      <c r="K183" s="7" t="s">
        <v>103</v>
      </c>
      <c r="L183" s="3" t="s">
        <v>2069</v>
      </c>
      <c r="M183" s="3" t="s">
        <v>2070</v>
      </c>
      <c r="N183" s="3"/>
      <c r="O183" s="3"/>
      <c r="P183" s="3"/>
      <c r="Q183" s="7"/>
      <c r="R183" s="7"/>
      <c r="S183" s="3"/>
      <c r="T183" s="3" t="s">
        <v>2071</v>
      </c>
      <c r="U183" s="7"/>
      <c r="V183" s="3" t="s">
        <v>85</v>
      </c>
      <c r="W183" s="3" t="s">
        <v>2072</v>
      </c>
      <c r="X183" s="3" t="s">
        <v>2073</v>
      </c>
      <c r="Y183" s="3" t="s">
        <v>2074</v>
      </c>
      <c r="Z183" s="8" t="s">
        <v>2075</v>
      </c>
    </row>
    <row r="184" customFormat="false" ht="26.85" hidden="false" customHeight="false" outlineLevel="0" collapsed="false">
      <c r="A184" s="7" t="s">
        <v>2076</v>
      </c>
      <c r="B184" s="7" t="s">
        <v>1979</v>
      </c>
      <c r="C184" s="7"/>
      <c r="D184" s="7" t="n">
        <v>2018</v>
      </c>
      <c r="E184" s="3" t="s">
        <v>2077</v>
      </c>
      <c r="F184" s="7" t="s">
        <v>140</v>
      </c>
      <c r="G184" s="3" t="s">
        <v>141</v>
      </c>
      <c r="H184" s="7" t="s">
        <v>87</v>
      </c>
      <c r="I184" s="7" t="s">
        <v>317</v>
      </c>
      <c r="J184" s="7" t="s">
        <v>318</v>
      </c>
      <c r="K184" s="7" t="s">
        <v>274</v>
      </c>
      <c r="L184" s="3" t="s">
        <v>2078</v>
      </c>
      <c r="M184" s="3" t="s">
        <v>2079</v>
      </c>
      <c r="N184" s="3"/>
      <c r="O184" s="3"/>
      <c r="P184" s="3"/>
      <c r="Q184" s="7"/>
      <c r="R184" s="7"/>
      <c r="S184" s="3"/>
      <c r="T184" s="3" t="s">
        <v>2080</v>
      </c>
      <c r="U184" s="7"/>
      <c r="V184" s="3" t="s">
        <v>296</v>
      </c>
      <c r="W184" s="3" t="s">
        <v>2081</v>
      </c>
      <c r="X184" s="3" t="s">
        <v>2082</v>
      </c>
      <c r="Y184" s="3" t="s">
        <v>2083</v>
      </c>
      <c r="Z184" s="8" t="s">
        <v>2084</v>
      </c>
    </row>
    <row r="185" customFormat="false" ht="39.55" hidden="false" customHeight="false" outlineLevel="0" collapsed="false">
      <c r="A185" s="7" t="s">
        <v>2085</v>
      </c>
      <c r="B185" s="7" t="s">
        <v>1979</v>
      </c>
      <c r="C185" s="7"/>
      <c r="D185" s="7" t="n">
        <v>2018</v>
      </c>
      <c r="E185" s="3" t="s">
        <v>2086</v>
      </c>
      <c r="F185" s="7" t="s">
        <v>123</v>
      </c>
      <c r="G185" s="3" t="s">
        <v>124</v>
      </c>
      <c r="H185" s="7" t="s">
        <v>87</v>
      </c>
      <c r="I185" s="7" t="s">
        <v>164</v>
      </c>
      <c r="J185" s="7" t="s">
        <v>165</v>
      </c>
      <c r="K185" s="7" t="s">
        <v>166</v>
      </c>
      <c r="L185" s="3" t="s">
        <v>175</v>
      </c>
      <c r="M185" s="3" t="s">
        <v>2087</v>
      </c>
      <c r="N185" s="3" t="s">
        <v>2088</v>
      </c>
      <c r="O185" s="3" t="s">
        <v>2089</v>
      </c>
      <c r="P185" s="3" t="s">
        <v>2090</v>
      </c>
      <c r="Q185" s="7" t="s">
        <v>2091</v>
      </c>
      <c r="R185" s="7" t="n">
        <v>111</v>
      </c>
      <c r="S185" s="3" t="s">
        <v>2092</v>
      </c>
      <c r="T185" s="3" t="s">
        <v>2093</v>
      </c>
      <c r="U185" s="7"/>
      <c r="V185" s="3" t="s">
        <v>296</v>
      </c>
      <c r="W185" s="3" t="s">
        <v>2094</v>
      </c>
      <c r="X185" s="3" t="s">
        <v>2095</v>
      </c>
      <c r="Y185" s="3" t="s">
        <v>2096</v>
      </c>
      <c r="Z185" s="8" t="s">
        <v>2097</v>
      </c>
    </row>
    <row r="186" customFormat="false" ht="26.85" hidden="false" customHeight="false" outlineLevel="0" collapsed="false">
      <c r="A186" s="7" t="s">
        <v>2098</v>
      </c>
      <c r="B186" s="7" t="s">
        <v>1979</v>
      </c>
      <c r="C186" s="7"/>
      <c r="D186" s="7" t="n">
        <v>2018</v>
      </c>
      <c r="E186" s="3" t="s">
        <v>2099</v>
      </c>
      <c r="F186" s="7" t="s">
        <v>85</v>
      </c>
      <c r="G186" s="3" t="s">
        <v>86</v>
      </c>
      <c r="H186" s="7" t="s">
        <v>100</v>
      </c>
      <c r="I186" s="7" t="s">
        <v>331</v>
      </c>
      <c r="J186" s="7" t="s">
        <v>332</v>
      </c>
      <c r="K186" s="7" t="s">
        <v>103</v>
      </c>
      <c r="L186" s="3" t="s">
        <v>2069</v>
      </c>
      <c r="M186" s="3" t="s">
        <v>2100</v>
      </c>
      <c r="N186" s="3"/>
      <c r="O186" s="3"/>
      <c r="P186" s="3"/>
      <c r="Q186" s="7"/>
      <c r="R186" s="7"/>
      <c r="S186" s="3"/>
      <c r="T186" s="3" t="s">
        <v>2101</v>
      </c>
      <c r="U186" s="7"/>
      <c r="V186" s="3" t="s">
        <v>85</v>
      </c>
      <c r="W186" s="3" t="s">
        <v>2102</v>
      </c>
      <c r="X186" s="3" t="s">
        <v>2103</v>
      </c>
      <c r="Y186" s="3" t="s">
        <v>2104</v>
      </c>
      <c r="Z186" s="8" t="s">
        <v>2105</v>
      </c>
    </row>
    <row r="187" customFormat="false" ht="26.85" hidden="false" customHeight="false" outlineLevel="0" collapsed="false">
      <c r="A187" s="7" t="s">
        <v>2106</v>
      </c>
      <c r="B187" s="7" t="s">
        <v>1979</v>
      </c>
      <c r="C187" s="7"/>
      <c r="D187" s="7" t="n">
        <v>2018</v>
      </c>
      <c r="E187" s="3" t="s">
        <v>2107</v>
      </c>
      <c r="F187" s="7" t="s">
        <v>123</v>
      </c>
      <c r="G187" s="3" t="s">
        <v>124</v>
      </c>
      <c r="H187" s="7" t="s">
        <v>87</v>
      </c>
      <c r="I187" s="7" t="s">
        <v>941</v>
      </c>
      <c r="J187" s="7" t="s">
        <v>942</v>
      </c>
      <c r="K187" s="7" t="s">
        <v>1413</v>
      </c>
      <c r="L187" s="3" t="s">
        <v>1414</v>
      </c>
      <c r="M187" s="3" t="s">
        <v>2108</v>
      </c>
      <c r="N187" s="3" t="s">
        <v>2109</v>
      </c>
      <c r="O187" s="3" t="s">
        <v>2110</v>
      </c>
      <c r="P187" s="3" t="s">
        <v>2111</v>
      </c>
      <c r="Q187" s="7" t="s">
        <v>2091</v>
      </c>
      <c r="R187" s="7" t="n">
        <v>101</v>
      </c>
      <c r="S187" s="3" t="s">
        <v>2112</v>
      </c>
      <c r="T187" s="3" t="s">
        <v>2113</v>
      </c>
      <c r="U187" s="7"/>
      <c r="V187" s="3" t="s">
        <v>296</v>
      </c>
      <c r="W187" s="3" t="s">
        <v>2114</v>
      </c>
      <c r="X187" s="3" t="s">
        <v>2115</v>
      </c>
      <c r="Y187" s="3" t="s">
        <v>2116</v>
      </c>
      <c r="Z187" s="8" t="s">
        <v>2117</v>
      </c>
    </row>
    <row r="188" customFormat="false" ht="26.85" hidden="false" customHeight="false" outlineLevel="0" collapsed="false">
      <c r="A188" s="7" t="s">
        <v>2118</v>
      </c>
      <c r="B188" s="7" t="s">
        <v>2119</v>
      </c>
      <c r="C188" s="7"/>
      <c r="D188" s="7" t="n">
        <v>2019</v>
      </c>
      <c r="E188" s="3" t="s">
        <v>2120</v>
      </c>
      <c r="F188" s="7" t="s">
        <v>140</v>
      </c>
      <c r="G188" s="3" t="s">
        <v>141</v>
      </c>
      <c r="H188" s="7" t="s">
        <v>87</v>
      </c>
      <c r="I188" s="7" t="s">
        <v>225</v>
      </c>
      <c r="J188" s="7" t="s">
        <v>226</v>
      </c>
      <c r="K188" s="7" t="s">
        <v>2121</v>
      </c>
      <c r="L188" s="3" t="s">
        <v>2122</v>
      </c>
      <c r="M188" s="3" t="s">
        <v>2123</v>
      </c>
      <c r="N188" s="3"/>
      <c r="O188" s="3" t="s">
        <v>2124</v>
      </c>
      <c r="P188" s="3"/>
      <c r="Q188" s="7"/>
      <c r="R188" s="7"/>
      <c r="S188" s="3"/>
      <c r="T188" s="3" t="s">
        <v>2125</v>
      </c>
      <c r="U188" s="7"/>
      <c r="V188" s="3" t="s">
        <v>140</v>
      </c>
      <c r="W188" s="3" t="s">
        <v>2126</v>
      </c>
      <c r="X188" s="3" t="s">
        <v>2127</v>
      </c>
      <c r="Y188" s="3" t="s">
        <v>2128</v>
      </c>
      <c r="Z188" s="8" t="s">
        <v>2129</v>
      </c>
    </row>
    <row r="189" customFormat="false" ht="26.85" hidden="false" customHeight="false" outlineLevel="0" collapsed="false">
      <c r="A189" s="7" t="s">
        <v>2130</v>
      </c>
      <c r="B189" s="7" t="s">
        <v>2119</v>
      </c>
      <c r="C189" s="7"/>
      <c r="D189" s="7" t="n">
        <v>2019</v>
      </c>
      <c r="E189" s="3" t="s">
        <v>2131</v>
      </c>
      <c r="F189" s="7" t="s">
        <v>140</v>
      </c>
      <c r="G189" s="3" t="s">
        <v>141</v>
      </c>
      <c r="H189" s="7" t="s">
        <v>87</v>
      </c>
      <c r="I189" s="7" t="s">
        <v>781</v>
      </c>
      <c r="J189" s="7" t="s">
        <v>782</v>
      </c>
      <c r="K189" s="7" t="s">
        <v>274</v>
      </c>
      <c r="L189" s="3" t="s">
        <v>2132</v>
      </c>
      <c r="M189" s="3" t="s">
        <v>2133</v>
      </c>
      <c r="N189" s="3" t="s">
        <v>2134</v>
      </c>
      <c r="O189" s="3" t="s">
        <v>2135</v>
      </c>
      <c r="P189" s="3"/>
      <c r="Q189" s="7"/>
      <c r="R189" s="7"/>
      <c r="S189" s="3"/>
      <c r="T189" s="3" t="s">
        <v>2136</v>
      </c>
      <c r="U189" s="7"/>
      <c r="V189" s="3" t="s">
        <v>140</v>
      </c>
      <c r="W189" s="3" t="s">
        <v>2137</v>
      </c>
      <c r="X189" s="3" t="s">
        <v>2138</v>
      </c>
      <c r="Y189" s="3" t="s">
        <v>2139</v>
      </c>
      <c r="Z189" s="8" t="s">
        <v>2140</v>
      </c>
    </row>
    <row r="190" customFormat="false" ht="39.55" hidden="false" customHeight="false" outlineLevel="0" collapsed="false">
      <c r="A190" s="7" t="s">
        <v>2141</v>
      </c>
      <c r="B190" s="7" t="s">
        <v>2119</v>
      </c>
      <c r="C190" s="7"/>
      <c r="D190" s="7" t="n">
        <v>2019</v>
      </c>
      <c r="E190" s="3" t="s">
        <v>2142</v>
      </c>
      <c r="F190" s="7" t="s">
        <v>140</v>
      </c>
      <c r="G190" s="3" t="s">
        <v>141</v>
      </c>
      <c r="H190" s="7" t="s">
        <v>87</v>
      </c>
      <c r="I190" s="7" t="s">
        <v>290</v>
      </c>
      <c r="J190" s="7" t="s">
        <v>291</v>
      </c>
      <c r="K190" s="7" t="s">
        <v>90</v>
      </c>
      <c r="L190" s="3" t="s">
        <v>1593</v>
      </c>
      <c r="M190" s="3" t="s">
        <v>2143</v>
      </c>
      <c r="N190" s="3" t="s">
        <v>2144</v>
      </c>
      <c r="O190" s="3" t="s">
        <v>2145</v>
      </c>
      <c r="P190" s="3"/>
      <c r="Q190" s="7"/>
      <c r="R190" s="7"/>
      <c r="S190" s="3"/>
      <c r="T190" s="3" t="s">
        <v>2146</v>
      </c>
      <c r="U190" s="7"/>
      <c r="V190" s="3" t="s">
        <v>140</v>
      </c>
      <c r="W190" s="3" t="s">
        <v>2147</v>
      </c>
      <c r="X190" s="3" t="s">
        <v>2148</v>
      </c>
      <c r="Y190" s="3" t="s">
        <v>2149</v>
      </c>
      <c r="Z190" s="8" t="s">
        <v>2150</v>
      </c>
    </row>
    <row r="191" customFormat="false" ht="26.85" hidden="false" customHeight="false" outlineLevel="0" collapsed="false">
      <c r="A191" s="7" t="s">
        <v>2151</v>
      </c>
      <c r="B191" s="7" t="s">
        <v>2152</v>
      </c>
      <c r="C191" s="7"/>
      <c r="D191" s="7" t="n">
        <v>2019</v>
      </c>
      <c r="E191" s="3" t="s">
        <v>2153</v>
      </c>
      <c r="F191" s="7" t="s">
        <v>123</v>
      </c>
      <c r="G191" s="3" t="s">
        <v>124</v>
      </c>
      <c r="H191" s="7" t="s">
        <v>100</v>
      </c>
      <c r="I191" s="7" t="s">
        <v>101</v>
      </c>
      <c r="J191" s="7" t="s">
        <v>102</v>
      </c>
      <c r="K191" s="7" t="s">
        <v>103</v>
      </c>
      <c r="L191" s="3" t="s">
        <v>2154</v>
      </c>
      <c r="M191" s="3" t="s">
        <v>2155</v>
      </c>
      <c r="N191" s="3"/>
      <c r="O191" s="3"/>
      <c r="P191" s="3" t="s">
        <v>2156</v>
      </c>
      <c r="Q191" s="7" t="s">
        <v>2091</v>
      </c>
      <c r="R191" s="7" t="n">
        <v>93</v>
      </c>
      <c r="S191" s="3" t="s">
        <v>2157</v>
      </c>
      <c r="T191" s="3" t="s">
        <v>2158</v>
      </c>
      <c r="U191" s="7"/>
      <c r="V191" s="3" t="s">
        <v>123</v>
      </c>
      <c r="W191" s="3" t="s">
        <v>2159</v>
      </c>
      <c r="X191" s="3" t="s">
        <v>2160</v>
      </c>
      <c r="Y191" s="3" t="s">
        <v>2161</v>
      </c>
      <c r="Z191" s="8" t="s">
        <v>2162</v>
      </c>
    </row>
    <row r="192" customFormat="false" ht="26.85" hidden="false" customHeight="false" outlineLevel="0" collapsed="false">
      <c r="A192" s="7" t="s">
        <v>2163</v>
      </c>
      <c r="B192" s="7" t="s">
        <v>2152</v>
      </c>
      <c r="C192" s="7"/>
      <c r="D192" s="7" t="n">
        <v>2019</v>
      </c>
      <c r="E192" s="3" t="s">
        <v>2164</v>
      </c>
      <c r="F192" s="7" t="s">
        <v>123</v>
      </c>
      <c r="G192" s="3" t="s">
        <v>124</v>
      </c>
      <c r="H192" s="7" t="s">
        <v>87</v>
      </c>
      <c r="I192" s="7" t="s">
        <v>1114</v>
      </c>
      <c r="J192" s="7" t="s">
        <v>1115</v>
      </c>
      <c r="K192" s="7" t="s">
        <v>2165</v>
      </c>
      <c r="L192" s="3" t="s">
        <v>2166</v>
      </c>
      <c r="M192" s="3" t="s">
        <v>2167</v>
      </c>
      <c r="N192" s="3" t="s">
        <v>2168</v>
      </c>
      <c r="O192" s="3"/>
      <c r="P192" s="3" t="s">
        <v>2169</v>
      </c>
      <c r="Q192" s="7" t="s">
        <v>2091</v>
      </c>
      <c r="R192" s="7" t="n">
        <v>89</v>
      </c>
      <c r="S192" s="3" t="s">
        <v>2170</v>
      </c>
      <c r="T192" s="3" t="s">
        <v>2171</v>
      </c>
      <c r="U192" s="7"/>
      <c r="V192" s="3" t="s">
        <v>296</v>
      </c>
      <c r="W192" s="3" t="s">
        <v>2172</v>
      </c>
      <c r="X192" s="3" t="s">
        <v>2173</v>
      </c>
      <c r="Y192" s="3" t="s">
        <v>2174</v>
      </c>
      <c r="Z192" s="8" t="s">
        <v>2175</v>
      </c>
    </row>
    <row r="193" customFormat="false" ht="26.85" hidden="false" customHeight="false" outlineLevel="0" collapsed="false">
      <c r="A193" s="7" t="s">
        <v>2176</v>
      </c>
      <c r="B193" s="7" t="s">
        <v>2177</v>
      </c>
      <c r="C193" s="7"/>
      <c r="D193" s="7" t="n">
        <v>2019</v>
      </c>
      <c r="E193" s="3" t="s">
        <v>2178</v>
      </c>
      <c r="F193" s="7" t="s">
        <v>123</v>
      </c>
      <c r="G193" s="3" t="s">
        <v>124</v>
      </c>
      <c r="H193" s="7" t="s">
        <v>87</v>
      </c>
      <c r="I193" s="7" t="s">
        <v>225</v>
      </c>
      <c r="J193" s="7" t="s">
        <v>226</v>
      </c>
      <c r="K193" s="7" t="s">
        <v>227</v>
      </c>
      <c r="L193" s="3" t="s">
        <v>2179</v>
      </c>
      <c r="M193" s="3" t="s">
        <v>2180</v>
      </c>
      <c r="N193" s="3"/>
      <c r="O193" s="3"/>
      <c r="P193" s="3" t="s">
        <v>2181</v>
      </c>
      <c r="Q193" s="7" t="s">
        <v>2091</v>
      </c>
      <c r="R193" s="7" t="n">
        <v>65</v>
      </c>
      <c r="S193" s="3" t="s">
        <v>2182</v>
      </c>
      <c r="T193" s="3" t="s">
        <v>2183</v>
      </c>
      <c r="U193" s="7"/>
      <c r="V193" s="3" t="s">
        <v>296</v>
      </c>
      <c r="W193" s="3" t="s">
        <v>2184</v>
      </c>
      <c r="X193" s="3" t="s">
        <v>2185</v>
      </c>
      <c r="Y193" s="3" t="s">
        <v>2186</v>
      </c>
      <c r="Z193" s="8" t="s">
        <v>2187</v>
      </c>
    </row>
    <row r="194" customFormat="false" ht="26.85" hidden="false" customHeight="false" outlineLevel="0" collapsed="false">
      <c r="A194" s="7" t="s">
        <v>2188</v>
      </c>
      <c r="B194" s="7" t="s">
        <v>2177</v>
      </c>
      <c r="C194" s="7"/>
      <c r="D194" s="7" t="n">
        <v>2019</v>
      </c>
      <c r="E194" s="3" t="s">
        <v>2189</v>
      </c>
      <c r="F194" s="7" t="s">
        <v>123</v>
      </c>
      <c r="G194" s="3" t="s">
        <v>124</v>
      </c>
      <c r="H194" s="7" t="s">
        <v>87</v>
      </c>
      <c r="I194" s="7" t="s">
        <v>225</v>
      </c>
      <c r="J194" s="7" t="s">
        <v>226</v>
      </c>
      <c r="K194" s="7" t="s">
        <v>227</v>
      </c>
      <c r="L194" s="3" t="s">
        <v>368</v>
      </c>
      <c r="M194" s="3" t="s">
        <v>2190</v>
      </c>
      <c r="N194" s="3" t="s">
        <v>2191</v>
      </c>
      <c r="O194" s="3" t="s">
        <v>2192</v>
      </c>
      <c r="P194" s="3" t="s">
        <v>2181</v>
      </c>
      <c r="Q194" s="7" t="s">
        <v>2091</v>
      </c>
      <c r="R194" s="7"/>
      <c r="S194" s="3" t="s">
        <v>2193</v>
      </c>
      <c r="T194" s="3" t="s">
        <v>2194</v>
      </c>
      <c r="U194" s="7"/>
      <c r="V194" s="3" t="s">
        <v>296</v>
      </c>
      <c r="W194" s="3" t="s">
        <v>2195</v>
      </c>
      <c r="X194" s="3" t="s">
        <v>2196</v>
      </c>
      <c r="Y194" s="3" t="s">
        <v>2197</v>
      </c>
      <c r="Z194" s="8" t="s">
        <v>2198</v>
      </c>
    </row>
    <row r="195" customFormat="false" ht="26.85" hidden="false" customHeight="false" outlineLevel="0" collapsed="false">
      <c r="A195" s="7" t="s">
        <v>2199</v>
      </c>
      <c r="B195" s="7" t="s">
        <v>2177</v>
      </c>
      <c r="C195" s="7"/>
      <c r="D195" s="7" t="n">
        <v>2019</v>
      </c>
      <c r="E195" s="3" t="s">
        <v>2200</v>
      </c>
      <c r="F195" s="7" t="s">
        <v>123</v>
      </c>
      <c r="G195" s="3" t="s">
        <v>124</v>
      </c>
      <c r="H195" s="7" t="s">
        <v>87</v>
      </c>
      <c r="I195" s="7" t="s">
        <v>290</v>
      </c>
      <c r="J195" s="7" t="s">
        <v>291</v>
      </c>
      <c r="K195" s="7" t="s">
        <v>90</v>
      </c>
      <c r="L195" s="3" t="s">
        <v>2201</v>
      </c>
      <c r="M195" s="3" t="s">
        <v>2202</v>
      </c>
      <c r="N195" s="3"/>
      <c r="O195" s="3" t="s">
        <v>2203</v>
      </c>
      <c r="P195" s="3" t="s">
        <v>2204</v>
      </c>
      <c r="Q195" s="7" t="s">
        <v>2205</v>
      </c>
      <c r="R195" s="7" t="n">
        <v>238</v>
      </c>
      <c r="S195" s="3" t="s">
        <v>2206</v>
      </c>
      <c r="T195" s="3" t="s">
        <v>2207</v>
      </c>
      <c r="U195" s="7"/>
      <c r="V195" s="3" t="s">
        <v>296</v>
      </c>
      <c r="W195" s="3" t="s">
        <v>2208</v>
      </c>
      <c r="X195" s="3" t="s">
        <v>2209</v>
      </c>
      <c r="Y195" s="3" t="s">
        <v>2210</v>
      </c>
      <c r="Z195" s="8" t="s">
        <v>2211</v>
      </c>
    </row>
    <row r="196" customFormat="false" ht="26.85" hidden="false" customHeight="false" outlineLevel="0" collapsed="false">
      <c r="A196" s="7" t="s">
        <v>2212</v>
      </c>
      <c r="B196" s="7" t="s">
        <v>2177</v>
      </c>
      <c r="C196" s="7"/>
      <c r="D196" s="7" t="n">
        <v>2019</v>
      </c>
      <c r="E196" s="3" t="s">
        <v>2213</v>
      </c>
      <c r="F196" s="7" t="s">
        <v>123</v>
      </c>
      <c r="G196" s="3" t="s">
        <v>124</v>
      </c>
      <c r="H196" s="7" t="s">
        <v>100</v>
      </c>
      <c r="I196" s="7" t="s">
        <v>101</v>
      </c>
      <c r="J196" s="7" t="s">
        <v>102</v>
      </c>
      <c r="K196" s="7" t="s">
        <v>103</v>
      </c>
      <c r="L196" s="3" t="s">
        <v>2214</v>
      </c>
      <c r="M196" s="3" t="s">
        <v>2215</v>
      </c>
      <c r="N196" s="3" t="s">
        <v>2216</v>
      </c>
      <c r="O196" s="3" t="s">
        <v>2217</v>
      </c>
      <c r="P196" s="3" t="s">
        <v>2156</v>
      </c>
      <c r="Q196" s="7" t="s">
        <v>2091</v>
      </c>
      <c r="R196" s="7" t="n">
        <v>69</v>
      </c>
      <c r="S196" s="3" t="s">
        <v>2157</v>
      </c>
      <c r="T196" s="3" t="s">
        <v>2218</v>
      </c>
      <c r="U196" s="7"/>
      <c r="V196" s="3" t="s">
        <v>123</v>
      </c>
      <c r="W196" s="3" t="s">
        <v>2219</v>
      </c>
      <c r="X196" s="3" t="s">
        <v>2220</v>
      </c>
      <c r="Y196" s="3" t="s">
        <v>2221</v>
      </c>
      <c r="Z196" s="8" t="s">
        <v>2222</v>
      </c>
    </row>
    <row r="197" customFormat="false" ht="77.6" hidden="false" customHeight="false" outlineLevel="0" collapsed="false">
      <c r="A197" s="7" t="s">
        <v>2223</v>
      </c>
      <c r="B197" s="7" t="s">
        <v>2177</v>
      </c>
      <c r="C197" s="7"/>
      <c r="D197" s="7" t="n">
        <v>2019</v>
      </c>
      <c r="E197" s="3" t="s">
        <v>2224</v>
      </c>
      <c r="F197" s="7" t="s">
        <v>123</v>
      </c>
      <c r="G197" s="3" t="s">
        <v>124</v>
      </c>
      <c r="H197" s="7" t="s">
        <v>100</v>
      </c>
      <c r="I197" s="7" t="s">
        <v>101</v>
      </c>
      <c r="J197" s="7" t="s">
        <v>102</v>
      </c>
      <c r="K197" s="7" t="s">
        <v>103</v>
      </c>
      <c r="L197" s="3" t="s">
        <v>2225</v>
      </c>
      <c r="M197" s="3" t="s">
        <v>2226</v>
      </c>
      <c r="N197" s="3" t="s">
        <v>2227</v>
      </c>
      <c r="O197" s="3" t="s">
        <v>2228</v>
      </c>
      <c r="P197" s="3" t="s">
        <v>2156</v>
      </c>
      <c r="Q197" s="7" t="s">
        <v>2091</v>
      </c>
      <c r="R197" s="7" t="n">
        <v>46</v>
      </c>
      <c r="S197" s="3" t="s">
        <v>2229</v>
      </c>
      <c r="T197" s="3" t="s">
        <v>2230</v>
      </c>
      <c r="U197" s="7"/>
      <c r="V197" s="3" t="s">
        <v>296</v>
      </c>
      <c r="W197" s="3" t="s">
        <v>2231</v>
      </c>
      <c r="X197" s="3" t="s">
        <v>2232</v>
      </c>
      <c r="Y197" s="3" t="s">
        <v>2233</v>
      </c>
      <c r="Z197" s="8" t="s">
        <v>2234</v>
      </c>
    </row>
    <row r="198" customFormat="false" ht="26.85" hidden="false" customHeight="false" outlineLevel="0" collapsed="false">
      <c r="A198" s="7" t="s">
        <v>2235</v>
      </c>
      <c r="B198" s="7" t="s">
        <v>2177</v>
      </c>
      <c r="C198" s="7"/>
      <c r="D198" s="7" t="n">
        <v>2019</v>
      </c>
      <c r="E198" s="3" t="s">
        <v>2236</v>
      </c>
      <c r="F198" s="7" t="s">
        <v>123</v>
      </c>
      <c r="G198" s="3" t="s">
        <v>124</v>
      </c>
      <c r="H198" s="7" t="s">
        <v>100</v>
      </c>
      <c r="I198" s="7" t="s">
        <v>101</v>
      </c>
      <c r="J198" s="7" t="s">
        <v>102</v>
      </c>
      <c r="K198" s="7" t="s">
        <v>103</v>
      </c>
      <c r="L198" s="3" t="s">
        <v>2237</v>
      </c>
      <c r="M198" s="3" t="s">
        <v>2238</v>
      </c>
      <c r="N198" s="3" t="s">
        <v>2239</v>
      </c>
      <c r="O198" s="3" t="s">
        <v>2240</v>
      </c>
      <c r="P198" s="3" t="s">
        <v>2156</v>
      </c>
      <c r="Q198" s="7" t="s">
        <v>2091</v>
      </c>
      <c r="R198" s="7" t="n">
        <v>69</v>
      </c>
      <c r="S198" s="3" t="s">
        <v>2229</v>
      </c>
      <c r="T198" s="3" t="s">
        <v>2241</v>
      </c>
      <c r="U198" s="7"/>
      <c r="V198" s="3" t="s">
        <v>296</v>
      </c>
      <c r="W198" s="3" t="s">
        <v>2242</v>
      </c>
      <c r="X198" s="3" t="s">
        <v>2243</v>
      </c>
      <c r="Y198" s="3" t="s">
        <v>2244</v>
      </c>
      <c r="Z198" s="8" t="s">
        <v>2222</v>
      </c>
    </row>
    <row r="199" customFormat="false" ht="26.85" hidden="false" customHeight="false" outlineLevel="0" collapsed="false">
      <c r="A199" s="7" t="s">
        <v>2245</v>
      </c>
      <c r="B199" s="7" t="s">
        <v>2177</v>
      </c>
      <c r="C199" s="7"/>
      <c r="D199" s="7" t="n">
        <v>2019</v>
      </c>
      <c r="E199" s="3" t="s">
        <v>2246</v>
      </c>
      <c r="F199" s="7" t="s">
        <v>123</v>
      </c>
      <c r="G199" s="3" t="s">
        <v>124</v>
      </c>
      <c r="H199" s="7" t="s">
        <v>87</v>
      </c>
      <c r="I199" s="7" t="s">
        <v>2247</v>
      </c>
      <c r="J199" s="7" t="s">
        <v>2248</v>
      </c>
      <c r="K199" s="7" t="s">
        <v>90</v>
      </c>
      <c r="L199" s="3" t="s">
        <v>2249</v>
      </c>
      <c r="M199" s="3" t="s">
        <v>2250</v>
      </c>
      <c r="N199" s="3" t="s">
        <v>2251</v>
      </c>
      <c r="O199" s="3" t="s">
        <v>2252</v>
      </c>
      <c r="P199" s="3" t="s">
        <v>2253</v>
      </c>
      <c r="Q199" s="7" t="s">
        <v>2254</v>
      </c>
      <c r="R199" s="7" t="n">
        <v>112</v>
      </c>
      <c r="S199" s="3" t="s">
        <v>2255</v>
      </c>
      <c r="T199" s="3" t="s">
        <v>2256</v>
      </c>
      <c r="U199" s="7"/>
      <c r="V199" s="3" t="s">
        <v>296</v>
      </c>
      <c r="W199" s="3" t="s">
        <v>2257</v>
      </c>
      <c r="X199" s="3" t="s">
        <v>2258</v>
      </c>
      <c r="Y199" s="3" t="s">
        <v>2259</v>
      </c>
      <c r="Z199" s="8" t="s">
        <v>2260</v>
      </c>
    </row>
    <row r="200" customFormat="false" ht="26.85" hidden="false" customHeight="false" outlineLevel="0" collapsed="false">
      <c r="A200" s="7" t="s">
        <v>2261</v>
      </c>
      <c r="B200" s="7" t="s">
        <v>2177</v>
      </c>
      <c r="C200" s="7"/>
      <c r="D200" s="7" t="n">
        <v>2019</v>
      </c>
      <c r="E200" s="3" t="s">
        <v>2262</v>
      </c>
      <c r="F200" s="7" t="s">
        <v>123</v>
      </c>
      <c r="G200" s="3" t="s">
        <v>124</v>
      </c>
      <c r="H200" s="7" t="s">
        <v>87</v>
      </c>
      <c r="I200" s="7" t="s">
        <v>331</v>
      </c>
      <c r="J200" s="7" t="s">
        <v>332</v>
      </c>
      <c r="K200" s="7" t="s">
        <v>333</v>
      </c>
      <c r="L200" s="3" t="s">
        <v>2263</v>
      </c>
      <c r="M200" s="3" t="s">
        <v>2264</v>
      </c>
      <c r="N200" s="3" t="s">
        <v>2265</v>
      </c>
      <c r="O200" s="3" t="s">
        <v>2266</v>
      </c>
      <c r="P200" s="3" t="s">
        <v>2267</v>
      </c>
      <c r="Q200" s="7" t="s">
        <v>2091</v>
      </c>
      <c r="R200" s="7" t="n">
        <v>66</v>
      </c>
      <c r="S200" s="3" t="s">
        <v>2268</v>
      </c>
      <c r="T200" s="3" t="s">
        <v>2269</v>
      </c>
      <c r="U200" s="7"/>
      <c r="V200" s="3" t="s">
        <v>296</v>
      </c>
      <c r="W200" s="3" t="s">
        <v>2270</v>
      </c>
      <c r="X200" s="3" t="s">
        <v>2271</v>
      </c>
      <c r="Y200" s="3" t="s">
        <v>2272</v>
      </c>
      <c r="Z200" s="8" t="s">
        <v>2273</v>
      </c>
    </row>
    <row r="201" customFormat="false" ht="26.85" hidden="false" customHeight="false" outlineLevel="0" collapsed="false">
      <c r="A201" s="7" t="s">
        <v>2274</v>
      </c>
      <c r="B201" s="7" t="s">
        <v>2275</v>
      </c>
      <c r="C201" s="7" t="s">
        <v>121</v>
      </c>
      <c r="D201" s="7" t="n">
        <v>2019</v>
      </c>
      <c r="E201" s="3" t="s">
        <v>2276</v>
      </c>
      <c r="F201" s="7" t="s">
        <v>140</v>
      </c>
      <c r="G201" s="3" t="s">
        <v>141</v>
      </c>
      <c r="H201" s="7" t="s">
        <v>100</v>
      </c>
      <c r="I201" s="7" t="s">
        <v>101</v>
      </c>
      <c r="J201" s="7" t="s">
        <v>102</v>
      </c>
      <c r="K201" s="7" t="s">
        <v>103</v>
      </c>
      <c r="L201" s="3"/>
      <c r="M201" s="3" t="s">
        <v>2277</v>
      </c>
      <c r="N201" s="3" t="s">
        <v>2278</v>
      </c>
      <c r="O201" s="3"/>
      <c r="P201" s="3"/>
      <c r="Q201" s="7"/>
      <c r="R201" s="7"/>
      <c r="S201" s="3"/>
      <c r="T201" s="3" t="s">
        <v>2279</v>
      </c>
      <c r="U201" s="7"/>
      <c r="V201" s="3" t="s">
        <v>140</v>
      </c>
      <c r="W201" s="3" t="s">
        <v>2280</v>
      </c>
      <c r="X201" s="3" t="s">
        <v>2281</v>
      </c>
      <c r="Y201" s="3" t="s">
        <v>2282</v>
      </c>
      <c r="Z201" s="8" t="s">
        <v>2283</v>
      </c>
    </row>
    <row r="202" customFormat="false" ht="26.85" hidden="false" customHeight="false" outlineLevel="0" collapsed="false">
      <c r="A202" s="7" t="s">
        <v>2284</v>
      </c>
      <c r="B202" s="7" t="s">
        <v>2091</v>
      </c>
      <c r="C202" s="7"/>
      <c r="D202" s="7" t="n">
        <v>2019</v>
      </c>
      <c r="E202" s="3" t="s">
        <v>2285</v>
      </c>
      <c r="F202" s="7" t="s">
        <v>85</v>
      </c>
      <c r="G202" s="3" t="s">
        <v>86</v>
      </c>
      <c r="H202" s="7" t="s">
        <v>100</v>
      </c>
      <c r="I202" s="7" t="s">
        <v>164</v>
      </c>
      <c r="J202" s="7" t="s">
        <v>165</v>
      </c>
      <c r="K202" s="7" t="s">
        <v>103</v>
      </c>
      <c r="L202" s="3" t="s">
        <v>1535</v>
      </c>
      <c r="M202" s="3" t="s">
        <v>2286</v>
      </c>
      <c r="N202" s="3"/>
      <c r="O202" s="3"/>
      <c r="P202" s="3"/>
      <c r="Q202" s="7"/>
      <c r="R202" s="7"/>
      <c r="S202" s="3"/>
      <c r="T202" s="3" t="s">
        <v>2287</v>
      </c>
      <c r="U202" s="7"/>
      <c r="V202" s="3" t="s">
        <v>85</v>
      </c>
      <c r="W202" s="3" t="s">
        <v>2288</v>
      </c>
      <c r="X202" s="3" t="s">
        <v>2289</v>
      </c>
      <c r="Y202" s="3" t="s">
        <v>2290</v>
      </c>
      <c r="Z202" s="8" t="s">
        <v>2291</v>
      </c>
    </row>
    <row r="203" customFormat="false" ht="26.85" hidden="false" customHeight="false" outlineLevel="0" collapsed="false">
      <c r="A203" s="7" t="s">
        <v>2292</v>
      </c>
      <c r="B203" s="7" t="s">
        <v>2293</v>
      </c>
      <c r="C203" s="7"/>
      <c r="D203" s="7" t="n">
        <v>2019</v>
      </c>
      <c r="E203" s="3" t="s">
        <v>2294</v>
      </c>
      <c r="F203" s="7" t="s">
        <v>85</v>
      </c>
      <c r="G203" s="3" t="s">
        <v>86</v>
      </c>
      <c r="H203" s="7" t="s">
        <v>87</v>
      </c>
      <c r="I203" s="7" t="s">
        <v>164</v>
      </c>
      <c r="J203" s="7" t="s">
        <v>165</v>
      </c>
      <c r="K203" s="7" t="s">
        <v>166</v>
      </c>
      <c r="L203" s="3" t="s">
        <v>175</v>
      </c>
      <c r="M203" s="3" t="s">
        <v>2295</v>
      </c>
      <c r="N203" s="3" t="s">
        <v>2296</v>
      </c>
      <c r="O203" s="3"/>
      <c r="P203" s="3"/>
      <c r="Q203" s="7"/>
      <c r="R203" s="7"/>
      <c r="S203" s="3"/>
      <c r="T203" s="3" t="s">
        <v>2297</v>
      </c>
      <c r="U203" s="7"/>
      <c r="V203" s="3" t="s">
        <v>85</v>
      </c>
      <c r="W203" s="3" t="s">
        <v>2298</v>
      </c>
      <c r="X203" s="3" t="s">
        <v>2299</v>
      </c>
      <c r="Y203" s="3" t="s">
        <v>2300</v>
      </c>
      <c r="Z203" s="8" t="s">
        <v>2301</v>
      </c>
    </row>
    <row r="204" customFormat="false" ht="26.85" hidden="false" customHeight="false" outlineLevel="0" collapsed="false">
      <c r="A204" s="7" t="s">
        <v>2302</v>
      </c>
      <c r="B204" s="7" t="s">
        <v>2303</v>
      </c>
      <c r="C204" s="7"/>
      <c r="D204" s="7" t="n">
        <v>2019</v>
      </c>
      <c r="E204" s="3" t="s">
        <v>2304</v>
      </c>
      <c r="F204" s="7" t="s">
        <v>123</v>
      </c>
      <c r="G204" s="3" t="s">
        <v>124</v>
      </c>
      <c r="H204" s="7" t="s">
        <v>87</v>
      </c>
      <c r="I204" s="7" t="s">
        <v>502</v>
      </c>
      <c r="J204" s="7" t="s">
        <v>503</v>
      </c>
      <c r="K204" s="7" t="s">
        <v>90</v>
      </c>
      <c r="L204" s="3" t="s">
        <v>2305</v>
      </c>
      <c r="M204" s="3" t="s">
        <v>2306</v>
      </c>
      <c r="N204" s="3"/>
      <c r="O204" s="3" t="s">
        <v>2307</v>
      </c>
      <c r="P204" s="3" t="s">
        <v>2308</v>
      </c>
      <c r="Q204" s="7" t="s">
        <v>2205</v>
      </c>
      <c r="R204" s="7" t="n">
        <v>125</v>
      </c>
      <c r="S204" s="3" t="s">
        <v>2309</v>
      </c>
      <c r="T204" s="3" t="s">
        <v>2310</v>
      </c>
      <c r="U204" s="7"/>
      <c r="V204" s="3" t="s">
        <v>123</v>
      </c>
      <c r="W204" s="3" t="s">
        <v>2311</v>
      </c>
      <c r="X204" s="3" t="s">
        <v>2312</v>
      </c>
      <c r="Y204" s="3" t="s">
        <v>2313</v>
      </c>
      <c r="Z204" s="8" t="s">
        <v>2314</v>
      </c>
    </row>
    <row r="205" customFormat="false" ht="26.85" hidden="false" customHeight="false" outlineLevel="0" collapsed="false">
      <c r="A205" s="7" t="s">
        <v>2315</v>
      </c>
      <c r="B205" s="7" t="s">
        <v>2316</v>
      </c>
      <c r="C205" s="7"/>
      <c r="D205" s="7" t="n">
        <v>2019</v>
      </c>
      <c r="E205" s="3" t="s">
        <v>2317</v>
      </c>
      <c r="F205" s="7" t="s">
        <v>123</v>
      </c>
      <c r="G205" s="3" t="s">
        <v>124</v>
      </c>
      <c r="H205" s="7" t="s">
        <v>87</v>
      </c>
      <c r="I205" s="7" t="s">
        <v>751</v>
      </c>
      <c r="J205" s="7" t="s">
        <v>752</v>
      </c>
      <c r="K205" s="7" t="s">
        <v>1746</v>
      </c>
      <c r="L205" s="3" t="s">
        <v>1747</v>
      </c>
      <c r="M205" s="3" t="s">
        <v>2318</v>
      </c>
      <c r="N205" s="3"/>
      <c r="O205" s="3"/>
      <c r="P205" s="3" t="s">
        <v>2319</v>
      </c>
      <c r="Q205" s="7" t="s">
        <v>2320</v>
      </c>
      <c r="R205" s="7" t="n">
        <v>191</v>
      </c>
      <c r="S205" s="3" t="s">
        <v>2321</v>
      </c>
      <c r="T205" s="3" t="s">
        <v>2322</v>
      </c>
      <c r="U205" s="7"/>
      <c r="V205" s="3" t="s">
        <v>296</v>
      </c>
      <c r="W205" s="3" t="s">
        <v>2323</v>
      </c>
      <c r="X205" s="3" t="s">
        <v>2324</v>
      </c>
      <c r="Y205" s="3" t="s">
        <v>2325</v>
      </c>
      <c r="Z205" s="8" t="s">
        <v>2326</v>
      </c>
    </row>
    <row r="206" customFormat="false" ht="26.85" hidden="false" customHeight="false" outlineLevel="0" collapsed="false">
      <c r="A206" s="7" t="s">
        <v>2327</v>
      </c>
      <c r="B206" s="7" t="s">
        <v>2316</v>
      </c>
      <c r="C206" s="7"/>
      <c r="D206" s="7" t="n">
        <v>2019</v>
      </c>
      <c r="E206" s="3" t="s">
        <v>2328</v>
      </c>
      <c r="F206" s="7" t="s">
        <v>85</v>
      </c>
      <c r="G206" s="3" t="s">
        <v>86</v>
      </c>
      <c r="H206" s="7" t="s">
        <v>87</v>
      </c>
      <c r="I206" s="7" t="s">
        <v>502</v>
      </c>
      <c r="J206" s="7" t="s">
        <v>503</v>
      </c>
      <c r="K206" s="7" t="s">
        <v>90</v>
      </c>
      <c r="L206" s="3" t="s">
        <v>1910</v>
      </c>
      <c r="M206" s="3" t="s">
        <v>2329</v>
      </c>
      <c r="N206" s="3"/>
      <c r="O206" s="3"/>
      <c r="P206" s="3" t="s">
        <v>2308</v>
      </c>
      <c r="Q206" s="7" t="s">
        <v>2205</v>
      </c>
      <c r="R206" s="7" t="n">
        <v>63</v>
      </c>
      <c r="S206" s="3" t="s">
        <v>2330</v>
      </c>
      <c r="T206" s="3" t="s">
        <v>2331</v>
      </c>
      <c r="U206" s="7"/>
      <c r="V206" s="3" t="s">
        <v>282</v>
      </c>
      <c r="W206" s="3" t="s">
        <v>2332</v>
      </c>
      <c r="X206" s="3" t="s">
        <v>2333</v>
      </c>
      <c r="Y206" s="3" t="s">
        <v>2334</v>
      </c>
      <c r="Z206" s="8" t="s">
        <v>2335</v>
      </c>
    </row>
    <row r="207" customFormat="false" ht="26.85" hidden="false" customHeight="false" outlineLevel="0" collapsed="false">
      <c r="A207" s="7" t="s">
        <v>2336</v>
      </c>
      <c r="B207" s="7" t="s">
        <v>2337</v>
      </c>
      <c r="C207" s="7"/>
      <c r="D207" s="7" t="n">
        <v>2019</v>
      </c>
      <c r="E207" s="3" t="s">
        <v>2338</v>
      </c>
      <c r="F207" s="7" t="s">
        <v>123</v>
      </c>
      <c r="G207" s="3" t="s">
        <v>124</v>
      </c>
      <c r="H207" s="7" t="s">
        <v>100</v>
      </c>
      <c r="I207" s="7" t="s">
        <v>101</v>
      </c>
      <c r="J207" s="7" t="s">
        <v>102</v>
      </c>
      <c r="K207" s="7" t="s">
        <v>103</v>
      </c>
      <c r="L207" s="3" t="s">
        <v>2339</v>
      </c>
      <c r="M207" s="3" t="s">
        <v>2340</v>
      </c>
      <c r="N207" s="3"/>
      <c r="O207" s="3" t="s">
        <v>2341</v>
      </c>
      <c r="P207" s="3" t="s">
        <v>2342</v>
      </c>
      <c r="Q207" s="7" t="s">
        <v>2205</v>
      </c>
      <c r="R207" s="7" t="n">
        <v>31</v>
      </c>
      <c r="S207" s="3" t="s">
        <v>2343</v>
      </c>
      <c r="T207" s="3" t="s">
        <v>2344</v>
      </c>
      <c r="U207" s="7"/>
      <c r="V207" s="3" t="s">
        <v>123</v>
      </c>
      <c r="W207" s="3" t="s">
        <v>2345</v>
      </c>
      <c r="X207" s="3" t="s">
        <v>2346</v>
      </c>
      <c r="Y207" s="3" t="s">
        <v>2347</v>
      </c>
      <c r="Z207" s="8" t="s">
        <v>2348</v>
      </c>
    </row>
    <row r="208" customFormat="false" ht="26.85" hidden="false" customHeight="false" outlineLevel="0" collapsed="false">
      <c r="A208" s="7" t="s">
        <v>2349</v>
      </c>
      <c r="B208" s="7" t="s">
        <v>2337</v>
      </c>
      <c r="C208" s="7"/>
      <c r="D208" s="7" t="n">
        <v>2019</v>
      </c>
      <c r="E208" s="3" t="s">
        <v>2350</v>
      </c>
      <c r="F208" s="7" t="s">
        <v>140</v>
      </c>
      <c r="G208" s="3" t="s">
        <v>141</v>
      </c>
      <c r="H208" s="7" t="s">
        <v>100</v>
      </c>
      <c r="I208" s="7" t="s">
        <v>101</v>
      </c>
      <c r="J208" s="7" t="s">
        <v>102</v>
      </c>
      <c r="K208" s="7" t="s">
        <v>103</v>
      </c>
      <c r="L208" s="3" t="s">
        <v>1535</v>
      </c>
      <c r="M208" s="3" t="s">
        <v>2351</v>
      </c>
      <c r="N208" s="3" t="s">
        <v>2352</v>
      </c>
      <c r="O208" s="3" t="s">
        <v>2353</v>
      </c>
      <c r="P208" s="3"/>
      <c r="Q208" s="7"/>
      <c r="R208" s="7"/>
      <c r="S208" s="3"/>
      <c r="T208" s="3" t="s">
        <v>2354</v>
      </c>
      <c r="U208" s="7"/>
      <c r="V208" s="3" t="s">
        <v>140</v>
      </c>
      <c r="W208" s="3" t="s">
        <v>2355</v>
      </c>
      <c r="X208" s="3" t="s">
        <v>2356</v>
      </c>
      <c r="Y208" s="3" t="s">
        <v>2357</v>
      </c>
      <c r="Z208" s="8" t="s">
        <v>2358</v>
      </c>
    </row>
    <row r="209" customFormat="false" ht="26.85" hidden="false" customHeight="false" outlineLevel="0" collapsed="false">
      <c r="A209" s="7" t="s">
        <v>2359</v>
      </c>
      <c r="B209" s="7" t="s">
        <v>2337</v>
      </c>
      <c r="C209" s="7"/>
      <c r="D209" s="7" t="n">
        <v>2019</v>
      </c>
      <c r="E209" s="3" t="s">
        <v>2360</v>
      </c>
      <c r="F209" s="7" t="s">
        <v>140</v>
      </c>
      <c r="G209" s="3" t="s">
        <v>141</v>
      </c>
      <c r="H209" s="7" t="s">
        <v>87</v>
      </c>
      <c r="I209" s="7" t="s">
        <v>1488</v>
      </c>
      <c r="J209" s="7" t="s">
        <v>1489</v>
      </c>
      <c r="K209" s="7" t="s">
        <v>1490</v>
      </c>
      <c r="L209" s="3" t="s">
        <v>2361</v>
      </c>
      <c r="M209" s="3" t="s">
        <v>2362</v>
      </c>
      <c r="N209" s="3"/>
      <c r="O209" s="3" t="s">
        <v>2363</v>
      </c>
      <c r="P209" s="3"/>
      <c r="Q209" s="7"/>
      <c r="R209" s="7"/>
      <c r="S209" s="3"/>
      <c r="T209" s="3" t="s">
        <v>2364</v>
      </c>
      <c r="U209" s="7"/>
      <c r="V209" s="3" t="s">
        <v>296</v>
      </c>
      <c r="W209" s="3" t="s">
        <v>2365</v>
      </c>
      <c r="X209" s="3" t="s">
        <v>2366</v>
      </c>
      <c r="Y209" s="3" t="s">
        <v>2367</v>
      </c>
      <c r="Z209" s="8" t="s">
        <v>2368</v>
      </c>
    </row>
    <row r="210" customFormat="false" ht="26.85" hidden="false" customHeight="false" outlineLevel="0" collapsed="false">
      <c r="A210" s="7" t="s">
        <v>2369</v>
      </c>
      <c r="B210" s="7" t="s">
        <v>2205</v>
      </c>
      <c r="C210" s="7"/>
      <c r="D210" s="7" t="n">
        <v>2019</v>
      </c>
      <c r="E210" s="3" t="s">
        <v>2370</v>
      </c>
      <c r="F210" s="7" t="s">
        <v>140</v>
      </c>
      <c r="G210" s="3" t="s">
        <v>141</v>
      </c>
      <c r="H210" s="7" t="s">
        <v>87</v>
      </c>
      <c r="I210" s="7" t="s">
        <v>225</v>
      </c>
      <c r="J210" s="7" t="s">
        <v>226</v>
      </c>
      <c r="K210" s="7" t="s">
        <v>2121</v>
      </c>
      <c r="L210" s="3" t="s">
        <v>2122</v>
      </c>
      <c r="M210" s="3" t="s">
        <v>2371</v>
      </c>
      <c r="N210" s="3" t="s">
        <v>2372</v>
      </c>
      <c r="O210" s="3" t="s">
        <v>2373</v>
      </c>
      <c r="P210" s="3"/>
      <c r="Q210" s="7"/>
      <c r="R210" s="7"/>
      <c r="S210" s="3"/>
      <c r="T210" s="3" t="s">
        <v>2374</v>
      </c>
      <c r="U210" s="7"/>
      <c r="V210" s="3" t="s">
        <v>140</v>
      </c>
      <c r="W210" s="3" t="s">
        <v>2375</v>
      </c>
      <c r="X210" s="3" t="s">
        <v>2376</v>
      </c>
      <c r="Y210" s="3" t="s">
        <v>2377</v>
      </c>
      <c r="Z210" s="8" t="s">
        <v>2378</v>
      </c>
    </row>
    <row r="211" customFormat="false" ht="26.85" hidden="false" customHeight="false" outlineLevel="0" collapsed="false">
      <c r="A211" s="7" t="s">
        <v>2379</v>
      </c>
      <c r="B211" s="7" t="s">
        <v>2205</v>
      </c>
      <c r="C211" s="7"/>
      <c r="D211" s="7" t="n">
        <v>2019</v>
      </c>
      <c r="E211" s="3" t="s">
        <v>2380</v>
      </c>
      <c r="F211" s="7" t="s">
        <v>123</v>
      </c>
      <c r="G211" s="3" t="s">
        <v>124</v>
      </c>
      <c r="H211" s="7" t="s">
        <v>87</v>
      </c>
      <c r="I211" s="7" t="s">
        <v>751</v>
      </c>
      <c r="J211" s="7" t="s">
        <v>752</v>
      </c>
      <c r="K211" s="7" t="s">
        <v>1746</v>
      </c>
      <c r="L211" s="3" t="s">
        <v>1747</v>
      </c>
      <c r="M211" s="3" t="s">
        <v>2381</v>
      </c>
      <c r="N211" s="3" t="s">
        <v>2382</v>
      </c>
      <c r="O211" s="3"/>
      <c r="P211" s="3" t="s">
        <v>2319</v>
      </c>
      <c r="Q211" s="7" t="s">
        <v>2320</v>
      </c>
      <c r="R211" s="7" t="n">
        <v>102</v>
      </c>
      <c r="S211" s="3" t="s">
        <v>2321</v>
      </c>
      <c r="T211" s="3" t="s">
        <v>2383</v>
      </c>
      <c r="U211" s="7"/>
      <c r="V211" s="3" t="s">
        <v>296</v>
      </c>
      <c r="W211" s="3" t="s">
        <v>2384</v>
      </c>
      <c r="X211" s="3" t="s">
        <v>2385</v>
      </c>
      <c r="Y211" s="3" t="s">
        <v>2386</v>
      </c>
      <c r="Z211" s="8" t="s">
        <v>2387</v>
      </c>
    </row>
    <row r="212" customFormat="false" ht="26.85" hidden="false" customHeight="false" outlineLevel="0" collapsed="false">
      <c r="A212" s="7" t="s">
        <v>2388</v>
      </c>
      <c r="B212" s="7" t="s">
        <v>2205</v>
      </c>
      <c r="C212" s="7"/>
      <c r="D212" s="7" t="n">
        <v>2019</v>
      </c>
      <c r="E212" s="3" t="s">
        <v>2389</v>
      </c>
      <c r="F212" s="7" t="s">
        <v>85</v>
      </c>
      <c r="G212" s="3" t="s">
        <v>86</v>
      </c>
      <c r="H212" s="7" t="s">
        <v>100</v>
      </c>
      <c r="I212" s="7" t="s">
        <v>382</v>
      </c>
      <c r="J212" s="7" t="s">
        <v>383</v>
      </c>
      <c r="K212" s="7" t="s">
        <v>103</v>
      </c>
      <c r="L212" s="3"/>
      <c r="M212" s="3" t="s">
        <v>2390</v>
      </c>
      <c r="N212" s="3"/>
      <c r="O212" s="3"/>
      <c r="P212" s="3"/>
      <c r="Q212" s="7"/>
      <c r="R212" s="7"/>
      <c r="S212" s="3"/>
      <c r="T212" s="3" t="s">
        <v>2391</v>
      </c>
      <c r="U212" s="7"/>
      <c r="V212" s="3" t="s">
        <v>85</v>
      </c>
      <c r="W212" s="3" t="s">
        <v>2392</v>
      </c>
      <c r="X212" s="3" t="s">
        <v>2393</v>
      </c>
      <c r="Y212" s="3" t="s">
        <v>2394</v>
      </c>
      <c r="Z212" s="8" t="s">
        <v>2395</v>
      </c>
    </row>
    <row r="213" customFormat="false" ht="26.85" hidden="false" customHeight="false" outlineLevel="0" collapsed="false">
      <c r="A213" s="7" t="s">
        <v>2396</v>
      </c>
      <c r="B213" s="7" t="s">
        <v>2397</v>
      </c>
      <c r="C213" s="7"/>
      <c r="D213" s="7" t="n">
        <v>2019</v>
      </c>
      <c r="E213" s="3" t="s">
        <v>2398</v>
      </c>
      <c r="F213" s="7" t="s">
        <v>140</v>
      </c>
      <c r="G213" s="3" t="s">
        <v>141</v>
      </c>
      <c r="H213" s="7" t="s">
        <v>87</v>
      </c>
      <c r="I213" s="7" t="s">
        <v>502</v>
      </c>
      <c r="J213" s="7" t="s">
        <v>503</v>
      </c>
      <c r="K213" s="7" t="s">
        <v>2399</v>
      </c>
      <c r="L213" s="3" t="s">
        <v>2400</v>
      </c>
      <c r="M213" s="3" t="s">
        <v>2401</v>
      </c>
      <c r="N213" s="3"/>
      <c r="O213" s="3" t="s">
        <v>2402</v>
      </c>
      <c r="P213" s="3"/>
      <c r="Q213" s="7"/>
      <c r="R213" s="7"/>
      <c r="S213" s="3"/>
      <c r="T213" s="3" t="s">
        <v>2403</v>
      </c>
      <c r="U213" s="7"/>
      <c r="V213" s="3" t="s">
        <v>140</v>
      </c>
      <c r="W213" s="3" t="s">
        <v>2404</v>
      </c>
      <c r="X213" s="3" t="s">
        <v>2405</v>
      </c>
      <c r="Y213" s="3" t="s">
        <v>2406</v>
      </c>
      <c r="Z213" s="8" t="s">
        <v>2407</v>
      </c>
    </row>
    <row r="214" customFormat="false" ht="26.85" hidden="false" customHeight="false" outlineLevel="0" collapsed="false">
      <c r="A214" s="7" t="s">
        <v>2408</v>
      </c>
      <c r="B214" s="7" t="s">
        <v>2409</v>
      </c>
      <c r="C214" s="7"/>
      <c r="D214" s="7" t="n">
        <v>2020</v>
      </c>
      <c r="E214" s="3" t="s">
        <v>2410</v>
      </c>
      <c r="F214" s="7" t="s">
        <v>140</v>
      </c>
      <c r="G214" s="3" t="s">
        <v>141</v>
      </c>
      <c r="H214" s="7" t="s">
        <v>87</v>
      </c>
      <c r="I214" s="7" t="s">
        <v>781</v>
      </c>
      <c r="J214" s="7" t="s">
        <v>782</v>
      </c>
      <c r="K214" s="7" t="s">
        <v>274</v>
      </c>
      <c r="L214" s="3" t="s">
        <v>2132</v>
      </c>
      <c r="M214" s="3" t="s">
        <v>2411</v>
      </c>
      <c r="N214" s="3"/>
      <c r="O214" s="3"/>
      <c r="P214" s="3"/>
      <c r="Q214" s="7"/>
      <c r="R214" s="7"/>
      <c r="S214" s="3"/>
      <c r="T214" s="3" t="s">
        <v>2412</v>
      </c>
      <c r="U214" s="7"/>
      <c r="V214" s="3" t="s">
        <v>140</v>
      </c>
      <c r="W214" s="3" t="s">
        <v>2413</v>
      </c>
      <c r="X214" s="3" t="s">
        <v>2414</v>
      </c>
      <c r="Y214" s="3" t="s">
        <v>2415</v>
      </c>
      <c r="Z214" s="8" t="s">
        <v>2416</v>
      </c>
    </row>
    <row r="215" customFormat="false" ht="26.85" hidden="false" customHeight="false" outlineLevel="0" collapsed="false">
      <c r="A215" s="7" t="s">
        <v>2417</v>
      </c>
      <c r="B215" s="7" t="s">
        <v>2409</v>
      </c>
      <c r="C215" s="7"/>
      <c r="D215" s="7" t="n">
        <v>2020</v>
      </c>
      <c r="E215" s="3" t="s">
        <v>2418</v>
      </c>
      <c r="F215" s="7" t="s">
        <v>140</v>
      </c>
      <c r="G215" s="3" t="s">
        <v>141</v>
      </c>
      <c r="H215" s="7" t="s">
        <v>87</v>
      </c>
      <c r="I215" s="7" t="s">
        <v>781</v>
      </c>
      <c r="J215" s="7" t="s">
        <v>782</v>
      </c>
      <c r="K215" s="7" t="s">
        <v>274</v>
      </c>
      <c r="L215" s="3" t="s">
        <v>2132</v>
      </c>
      <c r="M215" s="3" t="s">
        <v>2419</v>
      </c>
      <c r="N215" s="3"/>
      <c r="O215" s="3" t="s">
        <v>2420</v>
      </c>
      <c r="P215" s="3"/>
      <c r="Q215" s="7"/>
      <c r="R215" s="7"/>
      <c r="S215" s="3"/>
      <c r="T215" s="3" t="s">
        <v>2421</v>
      </c>
      <c r="U215" s="7"/>
      <c r="V215" s="3" t="s">
        <v>140</v>
      </c>
      <c r="W215" s="3" t="s">
        <v>2422</v>
      </c>
      <c r="X215" s="3" t="s">
        <v>2423</v>
      </c>
      <c r="Y215" s="3" t="s">
        <v>2424</v>
      </c>
      <c r="Z215" s="8" t="s">
        <v>2425</v>
      </c>
    </row>
    <row r="216" customFormat="false" ht="26.85" hidden="false" customHeight="false" outlineLevel="0" collapsed="false">
      <c r="A216" s="7" t="s">
        <v>2426</v>
      </c>
      <c r="B216" s="7" t="s">
        <v>2409</v>
      </c>
      <c r="C216" s="7" t="s">
        <v>121</v>
      </c>
      <c r="D216" s="7" t="n">
        <v>2020</v>
      </c>
      <c r="E216" s="3" t="s">
        <v>2427</v>
      </c>
      <c r="F216" s="7" t="s">
        <v>140</v>
      </c>
      <c r="G216" s="3" t="s">
        <v>141</v>
      </c>
      <c r="H216" s="7" t="s">
        <v>87</v>
      </c>
      <c r="I216" s="7" t="s">
        <v>1233</v>
      </c>
      <c r="J216" s="7" t="s">
        <v>1234</v>
      </c>
      <c r="K216" s="7" t="s">
        <v>90</v>
      </c>
      <c r="L216" s="3" t="s">
        <v>2428</v>
      </c>
      <c r="M216" s="3" t="s">
        <v>2429</v>
      </c>
      <c r="N216" s="3" t="s">
        <v>2430</v>
      </c>
      <c r="O216" s="3"/>
      <c r="P216" s="3"/>
      <c r="Q216" s="7"/>
      <c r="R216" s="7"/>
      <c r="S216" s="3"/>
      <c r="T216" s="3" t="s">
        <v>2431</v>
      </c>
      <c r="U216" s="7"/>
      <c r="V216" s="3" t="s">
        <v>296</v>
      </c>
      <c r="W216" s="3" t="s">
        <v>2432</v>
      </c>
      <c r="X216" s="3" t="s">
        <v>2433</v>
      </c>
      <c r="Y216" s="3" t="s">
        <v>2434</v>
      </c>
      <c r="Z216" s="8" t="s">
        <v>2435</v>
      </c>
    </row>
    <row r="217" customFormat="false" ht="26.85" hidden="false" customHeight="false" outlineLevel="0" collapsed="false">
      <c r="A217" s="7" t="s">
        <v>2436</v>
      </c>
      <c r="B217" s="7" t="s">
        <v>2409</v>
      </c>
      <c r="C217" s="7" t="s">
        <v>121</v>
      </c>
      <c r="D217" s="7" t="n">
        <v>2020</v>
      </c>
      <c r="E217" s="3" t="s">
        <v>2437</v>
      </c>
      <c r="F217" s="7" t="s">
        <v>85</v>
      </c>
      <c r="G217" s="3" t="s">
        <v>86</v>
      </c>
      <c r="H217" s="7" t="s">
        <v>87</v>
      </c>
      <c r="I217" s="7" t="s">
        <v>502</v>
      </c>
      <c r="J217" s="7" t="s">
        <v>503</v>
      </c>
      <c r="K217" s="7" t="s">
        <v>2399</v>
      </c>
      <c r="L217" s="3" t="s">
        <v>2400</v>
      </c>
      <c r="M217" s="3" t="s">
        <v>2438</v>
      </c>
      <c r="N217" s="3"/>
      <c r="O217" s="3" t="s">
        <v>2439</v>
      </c>
      <c r="P217" s="3"/>
      <c r="Q217" s="7"/>
      <c r="R217" s="7"/>
      <c r="S217" s="3"/>
      <c r="T217" s="3" t="s">
        <v>2440</v>
      </c>
      <c r="U217" s="7"/>
      <c r="V217" s="3" t="s">
        <v>85</v>
      </c>
      <c r="W217" s="3" t="s">
        <v>2441</v>
      </c>
      <c r="X217" s="3" t="s">
        <v>2442</v>
      </c>
      <c r="Y217" s="3" t="s">
        <v>2443</v>
      </c>
      <c r="Z217" s="8" t="s">
        <v>2444</v>
      </c>
    </row>
    <row r="218" customFormat="false" ht="39.55" hidden="false" customHeight="false" outlineLevel="0" collapsed="false">
      <c r="A218" s="7" t="s">
        <v>2445</v>
      </c>
      <c r="B218" s="7" t="s">
        <v>2446</v>
      </c>
      <c r="C218" s="7"/>
      <c r="D218" s="7" t="n">
        <v>2020</v>
      </c>
      <c r="E218" s="3" t="s">
        <v>2447</v>
      </c>
      <c r="F218" s="7" t="s">
        <v>140</v>
      </c>
      <c r="G218" s="3" t="s">
        <v>141</v>
      </c>
      <c r="H218" s="7" t="s">
        <v>87</v>
      </c>
      <c r="I218" s="7" t="s">
        <v>225</v>
      </c>
      <c r="J218" s="7" t="s">
        <v>226</v>
      </c>
      <c r="K218" s="7" t="s">
        <v>2121</v>
      </c>
      <c r="L218" s="3" t="s">
        <v>2122</v>
      </c>
      <c r="M218" s="3" t="s">
        <v>2448</v>
      </c>
      <c r="N218" s="3" t="s">
        <v>2449</v>
      </c>
      <c r="O218" s="3" t="s">
        <v>2450</v>
      </c>
      <c r="P218" s="3"/>
      <c r="Q218" s="7"/>
      <c r="R218" s="7"/>
      <c r="S218" s="3"/>
      <c r="T218" s="3" t="s">
        <v>2451</v>
      </c>
      <c r="U218" s="7"/>
      <c r="V218" s="3" t="s">
        <v>296</v>
      </c>
      <c r="W218" s="3" t="s">
        <v>2452</v>
      </c>
      <c r="X218" s="3" t="s">
        <v>2453</v>
      </c>
      <c r="Y218" s="3" t="s">
        <v>2454</v>
      </c>
      <c r="Z218" s="8" t="s">
        <v>2455</v>
      </c>
    </row>
    <row r="219" customFormat="false" ht="26.85" hidden="false" customHeight="false" outlineLevel="0" collapsed="false">
      <c r="A219" s="7" t="s">
        <v>2456</v>
      </c>
      <c r="B219" s="7" t="s">
        <v>2446</v>
      </c>
      <c r="C219" s="7"/>
      <c r="D219" s="7" t="n">
        <v>2020</v>
      </c>
      <c r="E219" s="3" t="s">
        <v>2457</v>
      </c>
      <c r="F219" s="7" t="s">
        <v>140</v>
      </c>
      <c r="G219" s="3" t="s">
        <v>141</v>
      </c>
      <c r="H219" s="7" t="s">
        <v>87</v>
      </c>
      <c r="I219" s="7" t="s">
        <v>502</v>
      </c>
      <c r="J219" s="7" t="s">
        <v>503</v>
      </c>
      <c r="K219" s="7" t="s">
        <v>2399</v>
      </c>
      <c r="L219" s="3" t="s">
        <v>2400</v>
      </c>
      <c r="M219" s="3" t="s">
        <v>2458</v>
      </c>
      <c r="N219" s="3" t="s">
        <v>2459</v>
      </c>
      <c r="O219" s="3"/>
      <c r="P219" s="3"/>
      <c r="Q219" s="7"/>
      <c r="R219" s="7"/>
      <c r="S219" s="3"/>
      <c r="T219" s="3" t="s">
        <v>2460</v>
      </c>
      <c r="U219" s="7"/>
      <c r="V219" s="3" t="s">
        <v>140</v>
      </c>
      <c r="W219" s="3" t="s">
        <v>2461</v>
      </c>
      <c r="X219" s="3" t="s">
        <v>2462</v>
      </c>
      <c r="Y219" s="3" t="s">
        <v>2463</v>
      </c>
      <c r="Z219" s="8" t="s">
        <v>2464</v>
      </c>
    </row>
    <row r="220" customFormat="false" ht="102.95" hidden="false" customHeight="false" outlineLevel="0" collapsed="false">
      <c r="A220" s="7" t="s">
        <v>2465</v>
      </c>
      <c r="B220" s="7" t="s">
        <v>2466</v>
      </c>
      <c r="C220" s="7"/>
      <c r="D220" s="7" t="n">
        <v>2020</v>
      </c>
      <c r="E220" s="3" t="s">
        <v>2467</v>
      </c>
      <c r="F220" s="7" t="s">
        <v>85</v>
      </c>
      <c r="G220" s="3" t="s">
        <v>86</v>
      </c>
      <c r="H220" s="7" t="s">
        <v>100</v>
      </c>
      <c r="I220" s="7" t="s">
        <v>101</v>
      </c>
      <c r="J220" s="7" t="s">
        <v>102</v>
      </c>
      <c r="K220" s="7" t="s">
        <v>103</v>
      </c>
      <c r="L220" s="3" t="s">
        <v>2468</v>
      </c>
      <c r="M220" s="3" t="s">
        <v>2469</v>
      </c>
      <c r="N220" s="3"/>
      <c r="O220" s="3" t="s">
        <v>2470</v>
      </c>
      <c r="P220" s="3"/>
      <c r="Q220" s="7"/>
      <c r="R220" s="7"/>
      <c r="S220" s="3"/>
      <c r="T220" s="3" t="s">
        <v>2471</v>
      </c>
      <c r="U220" s="7"/>
      <c r="V220" s="3" t="s">
        <v>85</v>
      </c>
      <c r="W220" s="3" t="s">
        <v>2472</v>
      </c>
      <c r="X220" s="3" t="s">
        <v>2473</v>
      </c>
      <c r="Y220" s="3" t="s">
        <v>2474</v>
      </c>
      <c r="Z220" s="8" t="s">
        <v>2475</v>
      </c>
    </row>
    <row r="221" customFormat="false" ht="26.85" hidden="false" customHeight="false" outlineLevel="0" collapsed="false">
      <c r="A221" s="7" t="s">
        <v>2476</v>
      </c>
      <c r="B221" s="7" t="s">
        <v>2466</v>
      </c>
      <c r="C221" s="7"/>
      <c r="D221" s="7" t="n">
        <v>2020</v>
      </c>
      <c r="E221" s="3" t="s">
        <v>2477</v>
      </c>
      <c r="F221" s="7" t="s">
        <v>85</v>
      </c>
      <c r="G221" s="3" t="s">
        <v>86</v>
      </c>
      <c r="H221" s="7" t="s">
        <v>100</v>
      </c>
      <c r="I221" s="7" t="s">
        <v>101</v>
      </c>
      <c r="J221" s="7" t="s">
        <v>102</v>
      </c>
      <c r="K221" s="7" t="s">
        <v>103</v>
      </c>
      <c r="L221" s="3" t="s">
        <v>2339</v>
      </c>
      <c r="M221" s="3" t="s">
        <v>2478</v>
      </c>
      <c r="N221" s="3" t="s">
        <v>2479</v>
      </c>
      <c r="O221" s="3" t="s">
        <v>2480</v>
      </c>
      <c r="P221" s="3"/>
      <c r="Q221" s="7"/>
      <c r="R221" s="7"/>
      <c r="S221" s="3"/>
      <c r="T221" s="3" t="s">
        <v>2481</v>
      </c>
      <c r="U221" s="7"/>
      <c r="V221" s="3" t="s">
        <v>85</v>
      </c>
      <c r="W221" s="3" t="s">
        <v>2482</v>
      </c>
      <c r="X221" s="3" t="s">
        <v>2483</v>
      </c>
      <c r="Y221" s="3" t="s">
        <v>2484</v>
      </c>
      <c r="Z221" s="8" t="s">
        <v>2485</v>
      </c>
    </row>
    <row r="222" customFormat="false" ht="26.85" hidden="false" customHeight="false" outlineLevel="0" collapsed="false">
      <c r="A222" s="7" t="s">
        <v>2486</v>
      </c>
      <c r="B222" s="7" t="s">
        <v>2466</v>
      </c>
      <c r="C222" s="7"/>
      <c r="D222" s="7" t="n">
        <v>2020</v>
      </c>
      <c r="E222" s="3" t="s">
        <v>2487</v>
      </c>
      <c r="F222" s="7" t="s">
        <v>85</v>
      </c>
      <c r="G222" s="3" t="s">
        <v>86</v>
      </c>
      <c r="H222" s="7" t="s">
        <v>100</v>
      </c>
      <c r="I222" s="7" t="s">
        <v>101</v>
      </c>
      <c r="J222" s="7" t="s">
        <v>102</v>
      </c>
      <c r="K222" s="7" t="s">
        <v>103</v>
      </c>
      <c r="L222" s="3" t="s">
        <v>2339</v>
      </c>
      <c r="M222" s="3" t="s">
        <v>2488</v>
      </c>
      <c r="N222" s="3" t="s">
        <v>2489</v>
      </c>
      <c r="O222" s="3" t="s">
        <v>2490</v>
      </c>
      <c r="P222" s="3"/>
      <c r="Q222" s="7"/>
      <c r="R222" s="7"/>
      <c r="S222" s="3"/>
      <c r="T222" s="3" t="s">
        <v>2491</v>
      </c>
      <c r="U222" s="7"/>
      <c r="V222" s="3" t="s">
        <v>743</v>
      </c>
      <c r="W222" s="3" t="s">
        <v>2492</v>
      </c>
      <c r="X222" s="3" t="s">
        <v>2493</v>
      </c>
      <c r="Y222" s="3" t="s">
        <v>2494</v>
      </c>
      <c r="Z222" s="8" t="s">
        <v>2495</v>
      </c>
    </row>
    <row r="223" customFormat="false" ht="26.85" hidden="false" customHeight="false" outlineLevel="0" collapsed="false">
      <c r="A223" s="7" t="s">
        <v>2496</v>
      </c>
      <c r="B223" s="7" t="s">
        <v>2497</v>
      </c>
      <c r="C223" s="7"/>
      <c r="D223" s="7" t="n">
        <v>2020</v>
      </c>
      <c r="E223" s="3" t="s">
        <v>2498</v>
      </c>
      <c r="F223" s="7" t="s">
        <v>85</v>
      </c>
      <c r="G223" s="3" t="s">
        <v>86</v>
      </c>
      <c r="H223" s="7" t="s">
        <v>100</v>
      </c>
      <c r="I223" s="7" t="s">
        <v>101</v>
      </c>
      <c r="J223" s="7" t="s">
        <v>102</v>
      </c>
      <c r="K223" s="7" t="s">
        <v>103</v>
      </c>
      <c r="L223" s="3" t="s">
        <v>2499</v>
      </c>
      <c r="M223" s="3" t="s">
        <v>2500</v>
      </c>
      <c r="N223" s="3"/>
      <c r="O223" s="3" t="s">
        <v>2501</v>
      </c>
      <c r="P223" s="3"/>
      <c r="Q223" s="7"/>
      <c r="R223" s="7"/>
      <c r="S223" s="3"/>
      <c r="T223" s="3" t="s">
        <v>2502</v>
      </c>
      <c r="U223" s="7"/>
      <c r="V223" s="3" t="s">
        <v>85</v>
      </c>
      <c r="W223" s="3" t="s">
        <v>2503</v>
      </c>
      <c r="X223" s="3" t="s">
        <v>2504</v>
      </c>
      <c r="Y223" s="3" t="s">
        <v>2505</v>
      </c>
      <c r="Z223" s="8" t="s">
        <v>2506</v>
      </c>
    </row>
    <row r="224" customFormat="false" ht="26.85" hidden="false" customHeight="false" outlineLevel="0" collapsed="false">
      <c r="A224" s="7" t="s">
        <v>2507</v>
      </c>
      <c r="B224" s="7" t="s">
        <v>2497</v>
      </c>
      <c r="C224" s="7"/>
      <c r="D224" s="7" t="n">
        <v>2020</v>
      </c>
      <c r="E224" s="3" t="s">
        <v>2508</v>
      </c>
      <c r="F224" s="7" t="s">
        <v>123</v>
      </c>
      <c r="G224" s="3" t="s">
        <v>124</v>
      </c>
      <c r="H224" s="7" t="s">
        <v>87</v>
      </c>
      <c r="I224" s="7" t="s">
        <v>125</v>
      </c>
      <c r="J224" s="7" t="s">
        <v>126</v>
      </c>
      <c r="K224" s="7" t="s">
        <v>127</v>
      </c>
      <c r="L224" s="3" t="s">
        <v>2038</v>
      </c>
      <c r="M224" s="3" t="s">
        <v>2509</v>
      </c>
      <c r="N224" s="3" t="s">
        <v>2510</v>
      </c>
      <c r="O224" s="3"/>
      <c r="P224" s="3" t="s">
        <v>2511</v>
      </c>
      <c r="Q224" s="7" t="s">
        <v>2512</v>
      </c>
      <c r="R224" s="7" t="n">
        <v>361</v>
      </c>
      <c r="S224" s="3" t="s">
        <v>2513</v>
      </c>
      <c r="T224" s="3" t="s">
        <v>2514</v>
      </c>
      <c r="U224" s="7"/>
      <c r="V224" s="3" t="s">
        <v>2515</v>
      </c>
      <c r="W224" s="3" t="s">
        <v>2516</v>
      </c>
      <c r="X224" s="3" t="s">
        <v>2517</v>
      </c>
      <c r="Y224" s="3" t="s">
        <v>2518</v>
      </c>
      <c r="Z224" s="8" t="s">
        <v>2519</v>
      </c>
    </row>
    <row r="225" customFormat="false" ht="26.85" hidden="false" customHeight="false" outlineLevel="0" collapsed="false">
      <c r="A225" s="7" t="s">
        <v>2520</v>
      </c>
      <c r="B225" s="7" t="s">
        <v>2497</v>
      </c>
      <c r="C225" s="7"/>
      <c r="D225" s="7" t="n">
        <v>2020</v>
      </c>
      <c r="E225" s="3" t="s">
        <v>2521</v>
      </c>
      <c r="F225" s="7" t="s">
        <v>85</v>
      </c>
      <c r="G225" s="3" t="s">
        <v>86</v>
      </c>
      <c r="H225" s="7" t="s">
        <v>87</v>
      </c>
      <c r="I225" s="7" t="s">
        <v>1488</v>
      </c>
      <c r="J225" s="7" t="s">
        <v>1489</v>
      </c>
      <c r="K225" s="7" t="s">
        <v>1490</v>
      </c>
      <c r="L225" s="3" t="s">
        <v>1491</v>
      </c>
      <c r="M225" s="3" t="s">
        <v>2522</v>
      </c>
      <c r="N225" s="3" t="s">
        <v>2523</v>
      </c>
      <c r="O225" s="3" t="s">
        <v>2524</v>
      </c>
      <c r="P225" s="3"/>
      <c r="Q225" s="7"/>
      <c r="R225" s="7"/>
      <c r="S225" s="3"/>
      <c r="T225" s="3" t="s">
        <v>2525</v>
      </c>
      <c r="U225" s="7"/>
      <c r="V225" s="3" t="s">
        <v>743</v>
      </c>
      <c r="W225" s="3" t="s">
        <v>2526</v>
      </c>
      <c r="X225" s="3" t="s">
        <v>2527</v>
      </c>
      <c r="Y225" s="3" t="s">
        <v>2528</v>
      </c>
      <c r="Z225" s="8" t="s">
        <v>2529</v>
      </c>
    </row>
    <row r="226" customFormat="false" ht="26.85" hidden="false" customHeight="false" outlineLevel="0" collapsed="false">
      <c r="A226" s="7" t="s">
        <v>2530</v>
      </c>
      <c r="B226" s="7" t="s">
        <v>2497</v>
      </c>
      <c r="C226" s="7"/>
      <c r="D226" s="7" t="n">
        <v>2020</v>
      </c>
      <c r="E226" s="3" t="s">
        <v>2531</v>
      </c>
      <c r="F226" s="7" t="s">
        <v>85</v>
      </c>
      <c r="G226" s="3" t="s">
        <v>86</v>
      </c>
      <c r="H226" s="7" t="s">
        <v>87</v>
      </c>
      <c r="I226" s="7" t="s">
        <v>666</v>
      </c>
      <c r="J226" s="7" t="s">
        <v>667</v>
      </c>
      <c r="K226" s="7" t="s">
        <v>90</v>
      </c>
      <c r="L226" s="3" t="s">
        <v>1885</v>
      </c>
      <c r="M226" s="3" t="s">
        <v>2532</v>
      </c>
      <c r="N226" s="3" t="s">
        <v>2533</v>
      </c>
      <c r="O226" s="3"/>
      <c r="P226" s="3"/>
      <c r="Q226" s="7"/>
      <c r="R226" s="7"/>
      <c r="S226" s="3"/>
      <c r="T226" s="3" t="s">
        <v>2534</v>
      </c>
      <c r="U226" s="7"/>
      <c r="V226" s="3" t="s">
        <v>743</v>
      </c>
      <c r="W226" s="3" t="s">
        <v>2535</v>
      </c>
      <c r="X226" s="3" t="s">
        <v>2536</v>
      </c>
      <c r="Y226" s="3" t="s">
        <v>2537</v>
      </c>
      <c r="Z226" s="8" t="s">
        <v>2538</v>
      </c>
    </row>
    <row r="227" customFormat="false" ht="26.85" hidden="false" customHeight="false" outlineLevel="0" collapsed="false">
      <c r="A227" s="7" t="s">
        <v>2539</v>
      </c>
      <c r="B227" s="7" t="s">
        <v>2540</v>
      </c>
      <c r="C227" s="7"/>
      <c r="D227" s="7" t="n">
        <v>2020</v>
      </c>
      <c r="E227" s="3" t="s">
        <v>2541</v>
      </c>
      <c r="F227" s="7" t="s">
        <v>85</v>
      </c>
      <c r="G227" s="3" t="s">
        <v>86</v>
      </c>
      <c r="H227" s="7" t="s">
        <v>100</v>
      </c>
      <c r="I227" s="7" t="s">
        <v>101</v>
      </c>
      <c r="J227" s="7" t="s">
        <v>102</v>
      </c>
      <c r="K227" s="7" t="s">
        <v>103</v>
      </c>
      <c r="L227" s="3" t="s">
        <v>2542</v>
      </c>
      <c r="M227" s="3" t="s">
        <v>2543</v>
      </c>
      <c r="N227" s="3"/>
      <c r="O227" s="3" t="s">
        <v>2544</v>
      </c>
      <c r="P227" s="3"/>
      <c r="Q227" s="7"/>
      <c r="R227" s="7"/>
      <c r="S227" s="3"/>
      <c r="T227" s="3" t="s">
        <v>2545</v>
      </c>
      <c r="U227" s="7"/>
      <c r="V227" s="3" t="s">
        <v>85</v>
      </c>
      <c r="W227" s="3" t="s">
        <v>2546</v>
      </c>
      <c r="X227" s="3" t="s">
        <v>2547</v>
      </c>
      <c r="Y227" s="3" t="s">
        <v>2548</v>
      </c>
      <c r="Z227" s="8" t="s">
        <v>2549</v>
      </c>
    </row>
    <row r="228" customFormat="false" ht="26.85" hidden="false" customHeight="false" outlineLevel="0" collapsed="false">
      <c r="A228" s="7" t="s">
        <v>2550</v>
      </c>
      <c r="B228" s="7" t="s">
        <v>2540</v>
      </c>
      <c r="C228" s="7"/>
      <c r="D228" s="7" t="n">
        <v>2020</v>
      </c>
      <c r="E228" s="3" t="s">
        <v>2551</v>
      </c>
      <c r="F228" s="7" t="s">
        <v>85</v>
      </c>
      <c r="G228" s="3" t="s">
        <v>86</v>
      </c>
      <c r="H228" s="7" t="s">
        <v>100</v>
      </c>
      <c r="I228" s="7" t="s">
        <v>941</v>
      </c>
      <c r="J228" s="7" t="s">
        <v>942</v>
      </c>
      <c r="K228" s="7" t="s">
        <v>103</v>
      </c>
      <c r="L228" s="3" t="s">
        <v>1535</v>
      </c>
      <c r="M228" s="3" t="s">
        <v>2552</v>
      </c>
      <c r="N228" s="3"/>
      <c r="O228" s="3"/>
      <c r="P228" s="3"/>
      <c r="Q228" s="7"/>
      <c r="R228" s="7"/>
      <c r="S228" s="3"/>
      <c r="T228" s="3" t="s">
        <v>2553</v>
      </c>
      <c r="U228" s="7"/>
      <c r="V228" s="3" t="s">
        <v>85</v>
      </c>
      <c r="W228" s="3" t="s">
        <v>2554</v>
      </c>
      <c r="X228" s="3" t="s">
        <v>2555</v>
      </c>
      <c r="Y228" s="3" t="s">
        <v>2556</v>
      </c>
      <c r="Z228" s="8" t="s">
        <v>2557</v>
      </c>
    </row>
    <row r="229" customFormat="false" ht="26.85" hidden="false" customHeight="false" outlineLevel="0" collapsed="false">
      <c r="A229" s="7" t="s">
        <v>2558</v>
      </c>
      <c r="B229" s="7" t="s">
        <v>2540</v>
      </c>
      <c r="C229" s="7"/>
      <c r="D229" s="7" t="n">
        <v>2020</v>
      </c>
      <c r="E229" s="3" t="s">
        <v>2559</v>
      </c>
      <c r="F229" s="7" t="s">
        <v>85</v>
      </c>
      <c r="G229" s="3" t="s">
        <v>86</v>
      </c>
      <c r="H229" s="7" t="s">
        <v>87</v>
      </c>
      <c r="I229" s="7" t="s">
        <v>941</v>
      </c>
      <c r="J229" s="7" t="s">
        <v>942</v>
      </c>
      <c r="K229" s="7" t="s">
        <v>1413</v>
      </c>
      <c r="L229" s="3"/>
      <c r="M229" s="3" t="s">
        <v>2560</v>
      </c>
      <c r="N229" s="3" t="s">
        <v>2561</v>
      </c>
      <c r="O229" s="3"/>
      <c r="P229" s="3"/>
      <c r="Q229" s="7"/>
      <c r="R229" s="7"/>
      <c r="S229" s="3"/>
      <c r="T229" s="3" t="s">
        <v>2562</v>
      </c>
      <c r="U229" s="7"/>
      <c r="V229" s="3" t="s">
        <v>85</v>
      </c>
      <c r="W229" s="3" t="s">
        <v>2563</v>
      </c>
      <c r="X229" s="3" t="s">
        <v>2564</v>
      </c>
      <c r="Y229" s="3" t="s">
        <v>2565</v>
      </c>
      <c r="Z229" s="8" t="s">
        <v>2566</v>
      </c>
    </row>
    <row r="230" customFormat="false" ht="26.85" hidden="false" customHeight="false" outlineLevel="0" collapsed="false">
      <c r="A230" s="7" t="s">
        <v>2567</v>
      </c>
      <c r="B230" s="7" t="s">
        <v>2568</v>
      </c>
      <c r="C230" s="7"/>
      <c r="D230" s="7" t="n">
        <v>2020</v>
      </c>
      <c r="E230" s="3" t="s">
        <v>2569</v>
      </c>
      <c r="F230" s="7" t="s">
        <v>123</v>
      </c>
      <c r="G230" s="3" t="s">
        <v>124</v>
      </c>
      <c r="H230" s="7" t="s">
        <v>100</v>
      </c>
      <c r="I230" s="7" t="s">
        <v>101</v>
      </c>
      <c r="J230" s="7" t="s">
        <v>102</v>
      </c>
      <c r="K230" s="7" t="s">
        <v>103</v>
      </c>
      <c r="L230" s="3" t="s">
        <v>1535</v>
      </c>
      <c r="M230" s="3" t="s">
        <v>2570</v>
      </c>
      <c r="N230" s="3" t="s">
        <v>2571</v>
      </c>
      <c r="O230" s="3" t="s">
        <v>2572</v>
      </c>
      <c r="P230" s="3" t="s">
        <v>2573</v>
      </c>
      <c r="Q230" s="7" t="s">
        <v>2574</v>
      </c>
      <c r="R230" s="7" t="n">
        <v>120</v>
      </c>
      <c r="S230" s="3" t="s">
        <v>2575</v>
      </c>
      <c r="T230" s="3" t="s">
        <v>2576</v>
      </c>
      <c r="U230" s="7"/>
      <c r="V230" s="3" t="s">
        <v>2515</v>
      </c>
      <c r="W230" s="3" t="s">
        <v>2577</v>
      </c>
      <c r="X230" s="3" t="s">
        <v>2578</v>
      </c>
      <c r="Y230" s="3" t="s">
        <v>2579</v>
      </c>
      <c r="Z230" s="8" t="s">
        <v>2580</v>
      </c>
    </row>
    <row r="231" customFormat="false" ht="39.55" hidden="false" customHeight="false" outlineLevel="0" collapsed="false">
      <c r="A231" s="7" t="s">
        <v>2581</v>
      </c>
      <c r="B231" s="7" t="s">
        <v>2582</v>
      </c>
      <c r="C231" s="7"/>
      <c r="D231" s="7" t="n">
        <v>2020</v>
      </c>
      <c r="E231" s="3" t="s">
        <v>2583</v>
      </c>
      <c r="F231" s="7" t="s">
        <v>123</v>
      </c>
      <c r="G231" s="3" t="s">
        <v>124</v>
      </c>
      <c r="H231" s="7" t="s">
        <v>87</v>
      </c>
      <c r="I231" s="7" t="s">
        <v>304</v>
      </c>
      <c r="J231" s="7" t="s">
        <v>305</v>
      </c>
      <c r="K231" s="7" t="s">
        <v>274</v>
      </c>
      <c r="L231" s="3" t="s">
        <v>306</v>
      </c>
      <c r="M231" s="3" t="s">
        <v>2584</v>
      </c>
      <c r="N231" s="3" t="s">
        <v>2585</v>
      </c>
      <c r="O231" s="3" t="s">
        <v>2586</v>
      </c>
      <c r="P231" s="3" t="s">
        <v>2587</v>
      </c>
      <c r="Q231" s="7" t="s">
        <v>2588</v>
      </c>
      <c r="R231" s="7" t="n">
        <v>557</v>
      </c>
      <c r="S231" s="3" t="s">
        <v>2589</v>
      </c>
      <c r="T231" s="3" t="s">
        <v>2590</v>
      </c>
      <c r="U231" s="7"/>
      <c r="V231" s="3" t="s">
        <v>296</v>
      </c>
      <c r="W231" s="3" t="s">
        <v>2591</v>
      </c>
      <c r="X231" s="3" t="s">
        <v>2592</v>
      </c>
      <c r="Y231" s="3" t="s">
        <v>2593</v>
      </c>
      <c r="Z231" s="8" t="s">
        <v>2594</v>
      </c>
    </row>
    <row r="232" customFormat="false" ht="39.55" hidden="false" customHeight="false" outlineLevel="0" collapsed="false">
      <c r="A232" s="7" t="s">
        <v>2595</v>
      </c>
      <c r="B232" s="7" t="s">
        <v>2596</v>
      </c>
      <c r="C232" s="7"/>
      <c r="D232" s="7" t="n">
        <v>2020</v>
      </c>
      <c r="E232" s="3" t="s">
        <v>2597</v>
      </c>
      <c r="F232" s="7" t="s">
        <v>123</v>
      </c>
      <c r="G232" s="3" t="s">
        <v>124</v>
      </c>
      <c r="H232" s="7" t="s">
        <v>87</v>
      </c>
      <c r="I232" s="7" t="s">
        <v>703</v>
      </c>
      <c r="J232" s="7" t="s">
        <v>704</v>
      </c>
      <c r="K232" s="7" t="s">
        <v>90</v>
      </c>
      <c r="L232" s="3" t="s">
        <v>2598</v>
      </c>
      <c r="M232" s="3" t="s">
        <v>2599</v>
      </c>
      <c r="N232" s="3" t="s">
        <v>2600</v>
      </c>
      <c r="O232" s="3"/>
      <c r="P232" s="3" t="s">
        <v>2601</v>
      </c>
      <c r="Q232" s="7" t="s">
        <v>2602</v>
      </c>
      <c r="R232" s="7" t="n">
        <v>184</v>
      </c>
      <c r="S232" s="3" t="s">
        <v>2603</v>
      </c>
      <c r="T232" s="3" t="s">
        <v>2604</v>
      </c>
      <c r="U232" s="7"/>
      <c r="V232" s="3" t="s">
        <v>296</v>
      </c>
      <c r="W232" s="3" t="s">
        <v>2605</v>
      </c>
      <c r="X232" s="3" t="s">
        <v>2606</v>
      </c>
      <c r="Y232" s="3" t="s">
        <v>2607</v>
      </c>
      <c r="Z232" s="8" t="s">
        <v>2608</v>
      </c>
    </row>
    <row r="233" customFormat="false" ht="39.55" hidden="false" customHeight="false" outlineLevel="0" collapsed="false">
      <c r="A233" s="7" t="s">
        <v>2609</v>
      </c>
      <c r="B233" s="7" t="s">
        <v>2574</v>
      </c>
      <c r="C233" s="7"/>
      <c r="D233" s="7" t="n">
        <v>2020</v>
      </c>
      <c r="E233" s="3" t="s">
        <v>2610</v>
      </c>
      <c r="F233" s="7" t="s">
        <v>123</v>
      </c>
      <c r="G233" s="3" t="s">
        <v>124</v>
      </c>
      <c r="H233" s="7" t="s">
        <v>87</v>
      </c>
      <c r="I233" s="7" t="s">
        <v>703</v>
      </c>
      <c r="J233" s="7" t="s">
        <v>704</v>
      </c>
      <c r="K233" s="7" t="s">
        <v>90</v>
      </c>
      <c r="L233" s="3" t="s">
        <v>2611</v>
      </c>
      <c r="M233" s="3" t="s">
        <v>2612</v>
      </c>
      <c r="N233" s="3" t="s">
        <v>2613</v>
      </c>
      <c r="O233" s="3" t="s">
        <v>2614</v>
      </c>
      <c r="P233" s="3" t="s">
        <v>2601</v>
      </c>
      <c r="Q233" s="7" t="s">
        <v>2602</v>
      </c>
      <c r="R233" s="7"/>
      <c r="S233" s="3" t="s">
        <v>2603</v>
      </c>
      <c r="T233" s="3" t="s">
        <v>2615</v>
      </c>
      <c r="U233" s="7"/>
      <c r="V233" s="3" t="s">
        <v>296</v>
      </c>
      <c r="W233" s="3" t="s">
        <v>2616</v>
      </c>
      <c r="X233" s="3" t="s">
        <v>2617</v>
      </c>
      <c r="Y233" s="3" t="s">
        <v>2618</v>
      </c>
      <c r="Z233" s="8" t="s">
        <v>2619</v>
      </c>
    </row>
    <row r="234" customFormat="false" ht="26.85" hidden="false" customHeight="false" outlineLevel="0" collapsed="false">
      <c r="A234" s="7" t="s">
        <v>2620</v>
      </c>
      <c r="B234" s="7" t="s">
        <v>2574</v>
      </c>
      <c r="C234" s="7"/>
      <c r="D234" s="7" t="n">
        <v>2020</v>
      </c>
      <c r="E234" s="3" t="s">
        <v>2621</v>
      </c>
      <c r="F234" s="7" t="s">
        <v>85</v>
      </c>
      <c r="G234" s="3" t="s">
        <v>86</v>
      </c>
      <c r="H234" s="7" t="s">
        <v>87</v>
      </c>
      <c r="I234" s="7" t="s">
        <v>1488</v>
      </c>
      <c r="J234" s="7" t="s">
        <v>1489</v>
      </c>
      <c r="K234" s="7" t="s">
        <v>1490</v>
      </c>
      <c r="L234" s="3" t="s">
        <v>1491</v>
      </c>
      <c r="M234" s="3" t="s">
        <v>2622</v>
      </c>
      <c r="N234" s="3" t="s">
        <v>2623</v>
      </c>
      <c r="O234" s="3" t="s">
        <v>2624</v>
      </c>
      <c r="P234" s="3" t="s">
        <v>2625</v>
      </c>
      <c r="Q234" s="7" t="s">
        <v>2626</v>
      </c>
      <c r="R234" s="7" t="n">
        <v>43</v>
      </c>
      <c r="S234" s="3" t="s">
        <v>2627</v>
      </c>
      <c r="T234" s="3" t="s">
        <v>2628</v>
      </c>
      <c r="U234" s="7"/>
      <c r="V234" s="3" t="s">
        <v>282</v>
      </c>
      <c r="W234" s="3" t="s">
        <v>2629</v>
      </c>
      <c r="X234" s="3" t="s">
        <v>2630</v>
      </c>
      <c r="Y234" s="3" t="s">
        <v>2631</v>
      </c>
      <c r="Z234" s="8" t="s">
        <v>2632</v>
      </c>
    </row>
    <row r="235" customFormat="false" ht="26.85" hidden="false" customHeight="false" outlineLevel="0" collapsed="false">
      <c r="A235" s="7" t="s">
        <v>2633</v>
      </c>
      <c r="B235" s="7" t="s">
        <v>2626</v>
      </c>
      <c r="C235" s="7"/>
      <c r="D235" s="7" t="n">
        <v>2020</v>
      </c>
      <c r="E235" s="3" t="s">
        <v>2634</v>
      </c>
      <c r="F235" s="7" t="s">
        <v>123</v>
      </c>
      <c r="G235" s="3" t="s">
        <v>124</v>
      </c>
      <c r="H235" s="7" t="s">
        <v>87</v>
      </c>
      <c r="I235" s="7" t="s">
        <v>331</v>
      </c>
      <c r="J235" s="7" t="s">
        <v>332</v>
      </c>
      <c r="K235" s="7" t="s">
        <v>333</v>
      </c>
      <c r="L235" s="3" t="s">
        <v>2263</v>
      </c>
      <c r="M235" s="3" t="s">
        <v>2635</v>
      </c>
      <c r="N235" s="3" t="s">
        <v>2636</v>
      </c>
      <c r="O235" s="3"/>
      <c r="P235" s="3" t="s">
        <v>2637</v>
      </c>
      <c r="Q235" s="7" t="s">
        <v>2512</v>
      </c>
      <c r="R235" s="7" t="n">
        <v>92</v>
      </c>
      <c r="S235" s="3" t="s">
        <v>2638</v>
      </c>
      <c r="T235" s="3" t="s">
        <v>2639</v>
      </c>
      <c r="U235" s="7"/>
      <c r="V235" s="3" t="s">
        <v>296</v>
      </c>
      <c r="W235" s="3" t="s">
        <v>2640</v>
      </c>
      <c r="X235" s="3" t="s">
        <v>2641</v>
      </c>
      <c r="Y235" s="3" t="s">
        <v>2642</v>
      </c>
      <c r="Z235" s="8" t="s">
        <v>2643</v>
      </c>
    </row>
    <row r="236" customFormat="false" ht="26.85" hidden="false" customHeight="false" outlineLevel="0" collapsed="false">
      <c r="A236" s="7" t="s">
        <v>2644</v>
      </c>
      <c r="B236" s="7" t="s">
        <v>2626</v>
      </c>
      <c r="C236" s="7"/>
      <c r="D236" s="7" t="n">
        <v>2020</v>
      </c>
      <c r="E236" s="3" t="s">
        <v>2645</v>
      </c>
      <c r="F236" s="7" t="s">
        <v>123</v>
      </c>
      <c r="G236" s="3" t="s">
        <v>124</v>
      </c>
      <c r="H236" s="7" t="s">
        <v>87</v>
      </c>
      <c r="I236" s="7" t="s">
        <v>941</v>
      </c>
      <c r="J236" s="7" t="s">
        <v>942</v>
      </c>
      <c r="K236" s="7" t="s">
        <v>1413</v>
      </c>
      <c r="L236" s="3" t="s">
        <v>1414</v>
      </c>
      <c r="M236" s="3" t="s">
        <v>2646</v>
      </c>
      <c r="N236" s="3" t="s">
        <v>2647</v>
      </c>
      <c r="O236" s="3"/>
      <c r="P236" s="3" t="s">
        <v>2648</v>
      </c>
      <c r="Q236" s="7" t="s">
        <v>2602</v>
      </c>
      <c r="R236" s="7" t="n">
        <v>116</v>
      </c>
      <c r="S236" s="3" t="s">
        <v>2649</v>
      </c>
      <c r="T236" s="3" t="s">
        <v>2650</v>
      </c>
      <c r="U236" s="7"/>
      <c r="V236" s="3" t="s">
        <v>296</v>
      </c>
      <c r="W236" s="3" t="s">
        <v>2651</v>
      </c>
      <c r="X236" s="3" t="s">
        <v>2652</v>
      </c>
      <c r="Y236" s="3" t="s">
        <v>2653</v>
      </c>
      <c r="Z236" s="8" t="s">
        <v>2654</v>
      </c>
    </row>
    <row r="237" customFormat="false" ht="26.85" hidden="false" customHeight="false" outlineLevel="0" collapsed="false">
      <c r="A237" s="7" t="s">
        <v>2655</v>
      </c>
      <c r="B237" s="7" t="s">
        <v>2656</v>
      </c>
      <c r="C237" s="7"/>
      <c r="D237" s="7" t="n">
        <v>2021</v>
      </c>
      <c r="E237" s="3" t="s">
        <v>2657</v>
      </c>
      <c r="F237" s="7" t="s">
        <v>85</v>
      </c>
      <c r="G237" s="3" t="s">
        <v>86</v>
      </c>
      <c r="H237" s="7" t="s">
        <v>87</v>
      </c>
      <c r="I237" s="7" t="s">
        <v>781</v>
      </c>
      <c r="J237" s="7" t="s">
        <v>782</v>
      </c>
      <c r="K237" s="7" t="s">
        <v>274</v>
      </c>
      <c r="L237" s="3" t="s">
        <v>2132</v>
      </c>
      <c r="M237" s="3" t="s">
        <v>2658</v>
      </c>
      <c r="N237" s="3"/>
      <c r="O237" s="3"/>
      <c r="P237" s="3"/>
      <c r="Q237" s="7"/>
      <c r="R237" s="7"/>
      <c r="S237" s="3"/>
      <c r="T237" s="3" t="s">
        <v>2659</v>
      </c>
      <c r="U237" s="7"/>
      <c r="V237" s="3" t="s">
        <v>85</v>
      </c>
      <c r="W237" s="3" t="s">
        <v>2660</v>
      </c>
      <c r="X237" s="3" t="s">
        <v>2661</v>
      </c>
      <c r="Y237" s="3" t="s">
        <v>2662</v>
      </c>
      <c r="Z237" s="8" t="s">
        <v>2663</v>
      </c>
    </row>
    <row r="238" customFormat="false" ht="26.85" hidden="false" customHeight="false" outlineLevel="0" collapsed="false">
      <c r="A238" s="7" t="s">
        <v>2664</v>
      </c>
      <c r="B238" s="7" t="s">
        <v>2656</v>
      </c>
      <c r="C238" s="7"/>
      <c r="D238" s="7" t="n">
        <v>2021</v>
      </c>
      <c r="E238" s="3" t="s">
        <v>2665</v>
      </c>
      <c r="F238" s="7" t="s">
        <v>85</v>
      </c>
      <c r="G238" s="3" t="s">
        <v>86</v>
      </c>
      <c r="H238" s="7" t="s">
        <v>100</v>
      </c>
      <c r="I238" s="7" t="s">
        <v>101</v>
      </c>
      <c r="J238" s="7" t="s">
        <v>102</v>
      </c>
      <c r="K238" s="7" t="s">
        <v>103</v>
      </c>
      <c r="L238" s="3"/>
      <c r="M238" s="3" t="s">
        <v>2666</v>
      </c>
      <c r="N238" s="3"/>
      <c r="O238" s="3" t="s">
        <v>2667</v>
      </c>
      <c r="P238" s="3"/>
      <c r="Q238" s="7"/>
      <c r="R238" s="7"/>
      <c r="S238" s="3"/>
      <c r="T238" s="3" t="s">
        <v>2668</v>
      </c>
      <c r="U238" s="7"/>
      <c r="V238" s="3" t="s">
        <v>85</v>
      </c>
      <c r="W238" s="3" t="s">
        <v>2669</v>
      </c>
      <c r="X238" s="3" t="s">
        <v>2670</v>
      </c>
      <c r="Y238" s="3" t="s">
        <v>2671</v>
      </c>
      <c r="Z238" s="8" t="s">
        <v>119</v>
      </c>
    </row>
    <row r="239" customFormat="false" ht="26.85" hidden="false" customHeight="false" outlineLevel="0" collapsed="false">
      <c r="A239" s="7" t="s">
        <v>2672</v>
      </c>
      <c r="B239" s="7" t="s">
        <v>2656</v>
      </c>
      <c r="C239" s="7"/>
      <c r="D239" s="7" t="n">
        <v>2021</v>
      </c>
      <c r="E239" s="3" t="s">
        <v>2673</v>
      </c>
      <c r="F239" s="7" t="s">
        <v>85</v>
      </c>
      <c r="G239" s="3" t="s">
        <v>86</v>
      </c>
      <c r="H239" s="7" t="s">
        <v>87</v>
      </c>
      <c r="I239" s="7" t="s">
        <v>317</v>
      </c>
      <c r="J239" s="7" t="s">
        <v>318</v>
      </c>
      <c r="K239" s="7" t="s">
        <v>90</v>
      </c>
      <c r="L239" s="3"/>
      <c r="M239" s="3" t="s">
        <v>2674</v>
      </c>
      <c r="N239" s="3"/>
      <c r="O239" s="3"/>
      <c r="P239" s="3"/>
      <c r="Q239" s="7"/>
      <c r="R239" s="7"/>
      <c r="S239" s="3"/>
      <c r="T239" s="3" t="s">
        <v>2675</v>
      </c>
      <c r="U239" s="7"/>
      <c r="V239" s="3" t="s">
        <v>85</v>
      </c>
      <c r="W239" s="3" t="s">
        <v>2676</v>
      </c>
      <c r="X239" s="3" t="s">
        <v>2677</v>
      </c>
      <c r="Y239" s="3" t="s">
        <v>2678</v>
      </c>
      <c r="Z239" s="8" t="s">
        <v>2679</v>
      </c>
    </row>
    <row r="240" customFormat="false" ht="26.85" hidden="false" customHeight="false" outlineLevel="0" collapsed="false">
      <c r="A240" s="7" t="s">
        <v>2680</v>
      </c>
      <c r="B240" s="7" t="s">
        <v>2681</v>
      </c>
      <c r="C240" s="7"/>
      <c r="D240" s="7" t="n">
        <v>2021</v>
      </c>
      <c r="E240" s="3" t="s">
        <v>2682</v>
      </c>
      <c r="F240" s="7" t="s">
        <v>140</v>
      </c>
      <c r="G240" s="3" t="s">
        <v>141</v>
      </c>
      <c r="H240" s="7" t="s">
        <v>87</v>
      </c>
      <c r="I240" s="7" t="s">
        <v>478</v>
      </c>
      <c r="J240" s="7" t="s">
        <v>479</v>
      </c>
      <c r="K240" s="7" t="s">
        <v>634</v>
      </c>
      <c r="L240" s="3" t="s">
        <v>635</v>
      </c>
      <c r="M240" s="3" t="s">
        <v>2683</v>
      </c>
      <c r="N240" s="3" t="s">
        <v>2684</v>
      </c>
      <c r="O240" s="3"/>
      <c r="P240" s="3"/>
      <c r="Q240" s="7"/>
      <c r="R240" s="7"/>
      <c r="S240" s="3"/>
      <c r="T240" s="3" t="s">
        <v>2685</v>
      </c>
      <c r="U240" s="7"/>
      <c r="V240" s="3" t="s">
        <v>140</v>
      </c>
      <c r="W240" s="3" t="s">
        <v>2686</v>
      </c>
      <c r="X240" s="3" t="s">
        <v>2687</v>
      </c>
      <c r="Y240" s="3" t="s">
        <v>2688</v>
      </c>
      <c r="Z240" s="8" t="s">
        <v>2689</v>
      </c>
    </row>
    <row r="241" customFormat="false" ht="26.85" hidden="false" customHeight="false" outlineLevel="0" collapsed="false">
      <c r="A241" s="7" t="s">
        <v>2690</v>
      </c>
      <c r="B241" s="7" t="s">
        <v>2681</v>
      </c>
      <c r="C241" s="7"/>
      <c r="D241" s="7" t="n">
        <v>2021</v>
      </c>
      <c r="E241" s="3" t="s">
        <v>2691</v>
      </c>
      <c r="F241" s="7" t="s">
        <v>123</v>
      </c>
      <c r="G241" s="3" t="s">
        <v>124</v>
      </c>
      <c r="H241" s="7" t="s">
        <v>100</v>
      </c>
      <c r="I241" s="7" t="s">
        <v>331</v>
      </c>
      <c r="J241" s="7" t="s">
        <v>332</v>
      </c>
      <c r="K241" s="7" t="s">
        <v>103</v>
      </c>
      <c r="L241" s="3" t="s">
        <v>2339</v>
      </c>
      <c r="M241" s="3" t="s">
        <v>2692</v>
      </c>
      <c r="N241" s="3"/>
      <c r="O241" s="3"/>
      <c r="P241" s="3" t="s">
        <v>2693</v>
      </c>
      <c r="Q241" s="7" t="s">
        <v>2602</v>
      </c>
      <c r="R241" s="7" t="n">
        <v>54</v>
      </c>
      <c r="S241" s="3" t="s">
        <v>2694</v>
      </c>
      <c r="T241" s="3" t="s">
        <v>2695</v>
      </c>
      <c r="U241" s="7"/>
      <c r="V241" s="3" t="s">
        <v>123</v>
      </c>
      <c r="W241" s="3" t="s">
        <v>2696</v>
      </c>
      <c r="X241" s="3" t="s">
        <v>2697</v>
      </c>
      <c r="Y241" s="3" t="s">
        <v>2698</v>
      </c>
      <c r="Z241" s="8" t="s">
        <v>2699</v>
      </c>
    </row>
    <row r="242" customFormat="false" ht="26.85" hidden="false" customHeight="false" outlineLevel="0" collapsed="false">
      <c r="A242" s="7" t="s">
        <v>2700</v>
      </c>
      <c r="B242" s="7" t="s">
        <v>2681</v>
      </c>
      <c r="C242" s="7"/>
      <c r="D242" s="7" t="n">
        <v>2021</v>
      </c>
      <c r="E242" s="3" t="s">
        <v>2701</v>
      </c>
      <c r="F242" s="7" t="s">
        <v>123</v>
      </c>
      <c r="G242" s="3" t="s">
        <v>124</v>
      </c>
      <c r="H242" s="7" t="s">
        <v>87</v>
      </c>
      <c r="I242" s="7" t="s">
        <v>331</v>
      </c>
      <c r="J242" s="7" t="s">
        <v>332</v>
      </c>
      <c r="K242" s="7" t="s">
        <v>333</v>
      </c>
      <c r="L242" s="3" t="s">
        <v>2263</v>
      </c>
      <c r="M242" s="3" t="s">
        <v>2702</v>
      </c>
      <c r="N242" s="3" t="s">
        <v>2703</v>
      </c>
      <c r="O242" s="3" t="s">
        <v>2704</v>
      </c>
      <c r="P242" s="3" t="s">
        <v>2637</v>
      </c>
      <c r="Q242" s="7" t="s">
        <v>2512</v>
      </c>
      <c r="R242" s="7" t="n">
        <v>60</v>
      </c>
      <c r="S242" s="3" t="s">
        <v>2705</v>
      </c>
      <c r="T242" s="3" t="s">
        <v>2706</v>
      </c>
      <c r="U242" s="7"/>
      <c r="V242" s="3" t="s">
        <v>296</v>
      </c>
      <c r="W242" s="3" t="s">
        <v>2707</v>
      </c>
      <c r="X242" s="3" t="s">
        <v>2708</v>
      </c>
      <c r="Y242" s="3" t="s">
        <v>2709</v>
      </c>
      <c r="Z242" s="8" t="s">
        <v>2710</v>
      </c>
    </row>
    <row r="243" customFormat="false" ht="26.85" hidden="false" customHeight="false" outlineLevel="0" collapsed="false">
      <c r="A243" s="7" t="s">
        <v>2711</v>
      </c>
      <c r="B243" s="7" t="s">
        <v>2712</v>
      </c>
      <c r="C243" s="7"/>
      <c r="D243" s="7" t="n">
        <v>2021</v>
      </c>
      <c r="E243" s="3" t="s">
        <v>2713</v>
      </c>
      <c r="F243" s="7" t="s">
        <v>85</v>
      </c>
      <c r="G243" s="3" t="s">
        <v>86</v>
      </c>
      <c r="H243" s="7" t="s">
        <v>87</v>
      </c>
      <c r="I243" s="7" t="s">
        <v>751</v>
      </c>
      <c r="J243" s="7" t="s">
        <v>752</v>
      </c>
      <c r="K243" s="7" t="s">
        <v>1746</v>
      </c>
      <c r="L243" s="3" t="s">
        <v>1747</v>
      </c>
      <c r="M243" s="3" t="s">
        <v>2714</v>
      </c>
      <c r="N243" s="3" t="s">
        <v>2715</v>
      </c>
      <c r="O243" s="3"/>
      <c r="P243" s="3"/>
      <c r="Q243" s="7"/>
      <c r="R243" s="7"/>
      <c r="S243" s="3"/>
      <c r="T243" s="3" t="s">
        <v>2716</v>
      </c>
      <c r="U243" s="7"/>
      <c r="V243" s="3" t="s">
        <v>85</v>
      </c>
      <c r="W243" s="3" t="s">
        <v>2717</v>
      </c>
      <c r="X243" s="3" t="s">
        <v>2718</v>
      </c>
      <c r="Y243" s="3" t="s">
        <v>2719</v>
      </c>
      <c r="Z243" s="8" t="s">
        <v>2720</v>
      </c>
    </row>
    <row r="244" customFormat="false" ht="26.85" hidden="false" customHeight="false" outlineLevel="0" collapsed="false">
      <c r="A244" s="7" t="s">
        <v>2721</v>
      </c>
      <c r="B244" s="7" t="s">
        <v>2712</v>
      </c>
      <c r="C244" s="7"/>
      <c r="D244" s="7" t="n">
        <v>2021</v>
      </c>
      <c r="E244" s="3" t="s">
        <v>2722</v>
      </c>
      <c r="F244" s="7" t="s">
        <v>85</v>
      </c>
      <c r="G244" s="3" t="s">
        <v>86</v>
      </c>
      <c r="H244" s="7" t="s">
        <v>100</v>
      </c>
      <c r="I244" s="7" t="s">
        <v>101</v>
      </c>
      <c r="J244" s="7" t="s">
        <v>102</v>
      </c>
      <c r="K244" s="7" t="s">
        <v>103</v>
      </c>
      <c r="L244" s="3" t="s">
        <v>1535</v>
      </c>
      <c r="M244" s="3" t="s">
        <v>2723</v>
      </c>
      <c r="N244" s="3"/>
      <c r="O244" s="3"/>
      <c r="P244" s="3"/>
      <c r="Q244" s="7"/>
      <c r="R244" s="7"/>
      <c r="S244" s="3"/>
      <c r="T244" s="3" t="s">
        <v>2724</v>
      </c>
      <c r="U244" s="7"/>
      <c r="V244" s="3" t="s">
        <v>85</v>
      </c>
      <c r="W244" s="3" t="s">
        <v>2725</v>
      </c>
      <c r="X244" s="3" t="s">
        <v>2726</v>
      </c>
      <c r="Y244" s="3" t="s">
        <v>2727</v>
      </c>
      <c r="Z244" s="8" t="s">
        <v>2728</v>
      </c>
    </row>
    <row r="245" customFormat="false" ht="26.85" hidden="false" customHeight="false" outlineLevel="0" collapsed="false">
      <c r="A245" s="7" t="s">
        <v>2729</v>
      </c>
      <c r="B245" s="7" t="s">
        <v>2712</v>
      </c>
      <c r="C245" s="7"/>
      <c r="D245" s="7" t="n">
        <v>2021</v>
      </c>
      <c r="E245" s="3" t="s">
        <v>2730</v>
      </c>
      <c r="F245" s="7" t="s">
        <v>85</v>
      </c>
      <c r="G245" s="3" t="s">
        <v>86</v>
      </c>
      <c r="H245" s="7" t="s">
        <v>100</v>
      </c>
      <c r="I245" s="7" t="s">
        <v>101</v>
      </c>
      <c r="J245" s="7" t="s">
        <v>102</v>
      </c>
      <c r="K245" s="7" t="s">
        <v>103</v>
      </c>
      <c r="L245" s="3" t="s">
        <v>2731</v>
      </c>
      <c r="M245" s="3" t="s">
        <v>2732</v>
      </c>
      <c r="N245" s="3" t="s">
        <v>2733</v>
      </c>
      <c r="O245" s="3"/>
      <c r="P245" s="3"/>
      <c r="Q245" s="7"/>
      <c r="R245" s="7"/>
      <c r="S245" s="3"/>
      <c r="T245" s="3" t="s">
        <v>2734</v>
      </c>
      <c r="U245" s="7"/>
      <c r="V245" s="3" t="s">
        <v>85</v>
      </c>
      <c r="W245" s="3" t="s">
        <v>2735</v>
      </c>
      <c r="X245" s="3" t="s">
        <v>2736</v>
      </c>
      <c r="Y245" s="3" t="s">
        <v>2737</v>
      </c>
      <c r="Z245" s="8" t="s">
        <v>2738</v>
      </c>
    </row>
    <row r="246" customFormat="false" ht="26.85" hidden="false" customHeight="false" outlineLevel="0" collapsed="false">
      <c r="A246" s="7" t="s">
        <v>2739</v>
      </c>
      <c r="B246" s="7" t="s">
        <v>2712</v>
      </c>
      <c r="C246" s="7"/>
      <c r="D246" s="7" t="n">
        <v>2021</v>
      </c>
      <c r="E246" s="3" t="s">
        <v>2740</v>
      </c>
      <c r="F246" s="7" t="s">
        <v>85</v>
      </c>
      <c r="G246" s="3" t="s">
        <v>86</v>
      </c>
      <c r="H246" s="7" t="s">
        <v>87</v>
      </c>
      <c r="I246" s="7" t="s">
        <v>331</v>
      </c>
      <c r="J246" s="7" t="s">
        <v>332</v>
      </c>
      <c r="K246" s="7" t="s">
        <v>680</v>
      </c>
      <c r="L246" s="3" t="s">
        <v>2741</v>
      </c>
      <c r="M246" s="3" t="s">
        <v>2742</v>
      </c>
      <c r="N246" s="3" t="s">
        <v>2743</v>
      </c>
      <c r="O246" s="3" t="s">
        <v>2744</v>
      </c>
      <c r="P246" s="3"/>
      <c r="Q246" s="7"/>
      <c r="R246" s="7"/>
      <c r="S246" s="3"/>
      <c r="T246" s="3" t="s">
        <v>2745</v>
      </c>
      <c r="U246" s="7"/>
      <c r="V246" s="3" t="s">
        <v>743</v>
      </c>
      <c r="W246" s="3" t="s">
        <v>2746</v>
      </c>
      <c r="X246" s="3" t="s">
        <v>2747</v>
      </c>
      <c r="Y246" s="3" t="s">
        <v>2748</v>
      </c>
      <c r="Z246" s="8" t="s">
        <v>2749</v>
      </c>
    </row>
    <row r="247" customFormat="false" ht="26.85" hidden="false" customHeight="false" outlineLevel="0" collapsed="false">
      <c r="A247" s="7" t="s">
        <v>2750</v>
      </c>
      <c r="B247" s="7" t="s">
        <v>2712</v>
      </c>
      <c r="C247" s="7"/>
      <c r="D247" s="7" t="n">
        <v>2021</v>
      </c>
      <c r="E247" s="3" t="s">
        <v>2751</v>
      </c>
      <c r="F247" s="7" t="s">
        <v>140</v>
      </c>
      <c r="G247" s="3" t="s">
        <v>141</v>
      </c>
      <c r="H247" s="7" t="s">
        <v>87</v>
      </c>
      <c r="I247" s="7" t="s">
        <v>331</v>
      </c>
      <c r="J247" s="7" t="s">
        <v>332</v>
      </c>
      <c r="K247" s="7" t="s">
        <v>680</v>
      </c>
      <c r="L247" s="3" t="s">
        <v>2741</v>
      </c>
      <c r="M247" s="3" t="s">
        <v>2752</v>
      </c>
      <c r="N247" s="3" t="s">
        <v>2753</v>
      </c>
      <c r="O247" s="3" t="s">
        <v>2754</v>
      </c>
      <c r="P247" s="3"/>
      <c r="Q247" s="7"/>
      <c r="R247" s="7"/>
      <c r="S247" s="3"/>
      <c r="T247" s="3" t="s">
        <v>2755</v>
      </c>
      <c r="U247" s="7"/>
      <c r="V247" s="3" t="s">
        <v>140</v>
      </c>
      <c r="W247" s="3" t="s">
        <v>2756</v>
      </c>
      <c r="X247" s="3" t="s">
        <v>2757</v>
      </c>
      <c r="Y247" s="3" t="s">
        <v>2758</v>
      </c>
      <c r="Z247" s="8" t="s">
        <v>2759</v>
      </c>
    </row>
    <row r="248" customFormat="false" ht="26.85" hidden="false" customHeight="false" outlineLevel="0" collapsed="false">
      <c r="A248" s="7" t="s">
        <v>2760</v>
      </c>
      <c r="B248" s="7" t="s">
        <v>2761</v>
      </c>
      <c r="C248" s="7"/>
      <c r="D248" s="7" t="n">
        <v>2021</v>
      </c>
      <c r="E248" s="3" t="s">
        <v>2762</v>
      </c>
      <c r="F248" s="7" t="s">
        <v>85</v>
      </c>
      <c r="G248" s="3" t="s">
        <v>86</v>
      </c>
      <c r="H248" s="7" t="s">
        <v>100</v>
      </c>
      <c r="I248" s="7" t="s">
        <v>101</v>
      </c>
      <c r="J248" s="7" t="s">
        <v>102</v>
      </c>
      <c r="K248" s="7" t="s">
        <v>103</v>
      </c>
      <c r="L248" s="3"/>
      <c r="M248" s="3" t="s">
        <v>2763</v>
      </c>
      <c r="N248" s="3"/>
      <c r="O248" s="3"/>
      <c r="P248" s="3"/>
      <c r="Q248" s="7"/>
      <c r="R248" s="7"/>
      <c r="S248" s="3"/>
      <c r="T248" s="3" t="s">
        <v>2764</v>
      </c>
      <c r="U248" s="7"/>
      <c r="V248" s="3" t="s">
        <v>85</v>
      </c>
      <c r="W248" s="3" t="s">
        <v>2765</v>
      </c>
      <c r="X248" s="3" t="s">
        <v>2766</v>
      </c>
      <c r="Y248" s="3" t="s">
        <v>2767</v>
      </c>
      <c r="Z248" s="8" t="s">
        <v>2768</v>
      </c>
    </row>
    <row r="249" customFormat="false" ht="26.85" hidden="false" customHeight="false" outlineLevel="0" collapsed="false">
      <c r="A249" s="7" t="s">
        <v>2769</v>
      </c>
      <c r="B249" s="7" t="s">
        <v>2770</v>
      </c>
      <c r="C249" s="7"/>
      <c r="D249" s="7" t="n">
        <v>2021</v>
      </c>
      <c r="E249" s="3" t="s">
        <v>2771</v>
      </c>
      <c r="F249" s="7" t="s">
        <v>123</v>
      </c>
      <c r="G249" s="3" t="s">
        <v>124</v>
      </c>
      <c r="H249" s="7" t="s">
        <v>100</v>
      </c>
      <c r="I249" s="7" t="s">
        <v>101</v>
      </c>
      <c r="J249" s="7" t="s">
        <v>102</v>
      </c>
      <c r="K249" s="7" t="s">
        <v>103</v>
      </c>
      <c r="L249" s="3" t="s">
        <v>1535</v>
      </c>
      <c r="M249" s="3" t="s">
        <v>2772</v>
      </c>
      <c r="N249" s="3"/>
      <c r="O249" s="3"/>
      <c r="P249" s="3" t="s">
        <v>2773</v>
      </c>
      <c r="Q249" s="7" t="s">
        <v>2588</v>
      </c>
      <c r="R249" s="7" t="n">
        <v>184</v>
      </c>
      <c r="S249" s="3" t="s">
        <v>2774</v>
      </c>
      <c r="T249" s="3" t="s">
        <v>2775</v>
      </c>
      <c r="U249" s="7"/>
      <c r="V249" s="3" t="s">
        <v>296</v>
      </c>
      <c r="W249" s="3" t="s">
        <v>2776</v>
      </c>
      <c r="X249" s="3" t="s">
        <v>2777</v>
      </c>
      <c r="Y249" s="3" t="s">
        <v>2778</v>
      </c>
      <c r="Z249" s="8" t="s">
        <v>2779</v>
      </c>
    </row>
    <row r="250" customFormat="false" ht="26.85" hidden="false" customHeight="false" outlineLevel="0" collapsed="false">
      <c r="A250" s="7" t="s">
        <v>2780</v>
      </c>
      <c r="B250" s="7" t="s">
        <v>2770</v>
      </c>
      <c r="C250" s="7"/>
      <c r="D250" s="7" t="n">
        <v>2021</v>
      </c>
      <c r="E250" s="3" t="s">
        <v>2781</v>
      </c>
      <c r="F250" s="7" t="s">
        <v>123</v>
      </c>
      <c r="G250" s="3" t="s">
        <v>124</v>
      </c>
      <c r="H250" s="7" t="s">
        <v>87</v>
      </c>
      <c r="I250" s="7" t="s">
        <v>1488</v>
      </c>
      <c r="J250" s="7" t="s">
        <v>1489</v>
      </c>
      <c r="K250" s="7" t="s">
        <v>1490</v>
      </c>
      <c r="L250" s="3" t="s">
        <v>1491</v>
      </c>
      <c r="M250" s="3" t="s">
        <v>2782</v>
      </c>
      <c r="N250" s="3" t="s">
        <v>2783</v>
      </c>
      <c r="O250" s="3" t="s">
        <v>2784</v>
      </c>
      <c r="P250" s="3" t="s">
        <v>2785</v>
      </c>
      <c r="Q250" s="7" t="s">
        <v>2786</v>
      </c>
      <c r="R250" s="7" t="n">
        <v>87</v>
      </c>
      <c r="S250" s="3" t="s">
        <v>2787</v>
      </c>
      <c r="T250" s="3" t="s">
        <v>2788</v>
      </c>
      <c r="U250" s="7"/>
      <c r="V250" s="3" t="s">
        <v>296</v>
      </c>
      <c r="W250" s="3" t="s">
        <v>2789</v>
      </c>
      <c r="X250" s="3" t="s">
        <v>2790</v>
      </c>
      <c r="Y250" s="3" t="s">
        <v>2791</v>
      </c>
      <c r="Z250" s="8" t="s">
        <v>2792</v>
      </c>
    </row>
    <row r="251" customFormat="false" ht="26.85" hidden="false" customHeight="false" outlineLevel="0" collapsed="false">
      <c r="A251" s="7" t="s">
        <v>2793</v>
      </c>
      <c r="B251" s="7" t="s">
        <v>2794</v>
      </c>
      <c r="C251" s="7"/>
      <c r="D251" s="7" t="n">
        <v>2021</v>
      </c>
      <c r="E251" s="3" t="s">
        <v>2795</v>
      </c>
      <c r="F251" s="7" t="s">
        <v>123</v>
      </c>
      <c r="G251" s="3" t="s">
        <v>124</v>
      </c>
      <c r="H251" s="7" t="s">
        <v>87</v>
      </c>
      <c r="I251" s="7" t="s">
        <v>237</v>
      </c>
      <c r="J251" s="7" t="s">
        <v>238</v>
      </c>
      <c r="K251" s="7" t="s">
        <v>90</v>
      </c>
      <c r="L251" s="3" t="s">
        <v>2796</v>
      </c>
      <c r="M251" s="3" t="s">
        <v>2797</v>
      </c>
      <c r="N251" s="3" t="s">
        <v>2798</v>
      </c>
      <c r="O251" s="3"/>
      <c r="P251" s="3" t="s">
        <v>2799</v>
      </c>
      <c r="Q251" s="7" t="s">
        <v>2588</v>
      </c>
      <c r="R251" s="7" t="n">
        <v>166</v>
      </c>
      <c r="S251" s="3" t="s">
        <v>2800</v>
      </c>
      <c r="T251" s="3" t="s">
        <v>2801</v>
      </c>
      <c r="U251" s="7"/>
      <c r="V251" s="3" t="s">
        <v>296</v>
      </c>
      <c r="W251" s="3" t="s">
        <v>2802</v>
      </c>
      <c r="X251" s="3" t="s">
        <v>2803</v>
      </c>
      <c r="Y251" s="3" t="s">
        <v>2804</v>
      </c>
      <c r="Z251" s="8" t="s">
        <v>2805</v>
      </c>
    </row>
    <row r="252" customFormat="false" ht="26.85" hidden="false" customHeight="false" outlineLevel="0" collapsed="false">
      <c r="A252" s="7" t="s">
        <v>2806</v>
      </c>
      <c r="B252" s="7" t="s">
        <v>2794</v>
      </c>
      <c r="C252" s="7"/>
      <c r="D252" s="7" t="n">
        <v>2021</v>
      </c>
      <c r="E252" s="3" t="s">
        <v>2807</v>
      </c>
      <c r="F252" s="7" t="s">
        <v>123</v>
      </c>
      <c r="G252" s="3" t="s">
        <v>124</v>
      </c>
      <c r="H252" s="7" t="s">
        <v>87</v>
      </c>
      <c r="I252" s="7" t="s">
        <v>304</v>
      </c>
      <c r="J252" s="7" t="s">
        <v>305</v>
      </c>
      <c r="K252" s="7" t="s">
        <v>274</v>
      </c>
      <c r="L252" s="3" t="s">
        <v>2808</v>
      </c>
      <c r="M252" s="3" t="s">
        <v>2809</v>
      </c>
      <c r="N252" s="3" t="s">
        <v>2810</v>
      </c>
      <c r="O252" s="3" t="s">
        <v>2811</v>
      </c>
      <c r="P252" s="3" t="s">
        <v>2587</v>
      </c>
      <c r="Q252" s="7" t="s">
        <v>2588</v>
      </c>
      <c r="R252" s="7" t="n">
        <v>144</v>
      </c>
      <c r="S252" s="3" t="s">
        <v>2589</v>
      </c>
      <c r="T252" s="3" t="s">
        <v>2812</v>
      </c>
      <c r="U252" s="7"/>
      <c r="V252" s="3" t="s">
        <v>296</v>
      </c>
      <c r="W252" s="3" t="s">
        <v>2813</v>
      </c>
      <c r="X252" s="3" t="s">
        <v>2814</v>
      </c>
      <c r="Y252" s="3" t="s">
        <v>2815</v>
      </c>
      <c r="Z252" s="8" t="s">
        <v>2816</v>
      </c>
    </row>
    <row r="253" customFormat="false" ht="39.55" hidden="false" customHeight="false" outlineLevel="0" collapsed="false">
      <c r="A253" s="7" t="s">
        <v>2817</v>
      </c>
      <c r="B253" s="7" t="s">
        <v>2794</v>
      </c>
      <c r="C253" s="7"/>
      <c r="D253" s="7" t="n">
        <v>2021</v>
      </c>
      <c r="E253" s="3" t="s">
        <v>2818</v>
      </c>
      <c r="F253" s="7" t="s">
        <v>140</v>
      </c>
      <c r="G253" s="3" t="s">
        <v>141</v>
      </c>
      <c r="H253" s="7" t="s">
        <v>87</v>
      </c>
      <c r="I253" s="7" t="s">
        <v>941</v>
      </c>
      <c r="J253" s="7" t="s">
        <v>942</v>
      </c>
      <c r="K253" s="7" t="s">
        <v>1413</v>
      </c>
      <c r="L253" s="3" t="s">
        <v>1414</v>
      </c>
      <c r="M253" s="3" t="s">
        <v>2819</v>
      </c>
      <c r="N253" s="3" t="s">
        <v>2820</v>
      </c>
      <c r="O253" s="3" t="s">
        <v>2821</v>
      </c>
      <c r="P253" s="3"/>
      <c r="Q253" s="7"/>
      <c r="R253" s="7"/>
      <c r="S253" s="3"/>
      <c r="T253" s="3" t="s">
        <v>2822</v>
      </c>
      <c r="U253" s="7"/>
      <c r="V253" s="3" t="s">
        <v>296</v>
      </c>
      <c r="W253" s="3" t="s">
        <v>2823</v>
      </c>
      <c r="X253" s="3" t="s">
        <v>2824</v>
      </c>
      <c r="Y253" s="3" t="s">
        <v>2825</v>
      </c>
      <c r="Z253" s="8" t="s">
        <v>2826</v>
      </c>
    </row>
    <row r="254" customFormat="false" ht="26.85" hidden="false" customHeight="false" outlineLevel="0" collapsed="false">
      <c r="A254" s="7" t="s">
        <v>2827</v>
      </c>
      <c r="B254" s="7" t="s">
        <v>2828</v>
      </c>
      <c r="C254" s="7"/>
      <c r="D254" s="7" t="n">
        <v>2021</v>
      </c>
      <c r="E254" s="3" t="s">
        <v>2829</v>
      </c>
      <c r="F254" s="7" t="s">
        <v>123</v>
      </c>
      <c r="G254" s="3" t="s">
        <v>124</v>
      </c>
      <c r="H254" s="7" t="s">
        <v>100</v>
      </c>
      <c r="I254" s="7" t="s">
        <v>101</v>
      </c>
      <c r="J254" s="7" t="s">
        <v>102</v>
      </c>
      <c r="K254" s="7" t="s">
        <v>103</v>
      </c>
      <c r="L254" s="3" t="s">
        <v>2830</v>
      </c>
      <c r="M254" s="3" t="s">
        <v>2831</v>
      </c>
      <c r="N254" s="3"/>
      <c r="O254" s="3"/>
      <c r="P254" s="3" t="s">
        <v>2832</v>
      </c>
      <c r="Q254" s="7" t="s">
        <v>2588</v>
      </c>
      <c r="R254" s="7" t="n">
        <v>83</v>
      </c>
      <c r="S254" s="3" t="s">
        <v>2833</v>
      </c>
      <c r="T254" s="3" t="s">
        <v>2834</v>
      </c>
      <c r="U254" s="7"/>
      <c r="V254" s="3" t="s">
        <v>123</v>
      </c>
      <c r="W254" s="3" t="s">
        <v>2835</v>
      </c>
      <c r="X254" s="3" t="s">
        <v>2836</v>
      </c>
      <c r="Y254" s="3" t="s">
        <v>2837</v>
      </c>
      <c r="Z254" s="8" t="s">
        <v>2838</v>
      </c>
    </row>
    <row r="255" customFormat="false" ht="26.85" hidden="false" customHeight="false" outlineLevel="0" collapsed="false">
      <c r="A255" s="7" t="s">
        <v>2839</v>
      </c>
      <c r="B255" s="7" t="s">
        <v>2828</v>
      </c>
      <c r="C255" s="7"/>
      <c r="D255" s="7" t="n">
        <v>2021</v>
      </c>
      <c r="E255" s="3" t="s">
        <v>2840</v>
      </c>
      <c r="F255" s="7" t="s">
        <v>123</v>
      </c>
      <c r="G255" s="3" t="s">
        <v>124</v>
      </c>
      <c r="H255" s="7" t="s">
        <v>100</v>
      </c>
      <c r="I255" s="7" t="s">
        <v>101</v>
      </c>
      <c r="J255" s="7" t="s">
        <v>102</v>
      </c>
      <c r="K255" s="7" t="s">
        <v>103</v>
      </c>
      <c r="L255" s="3"/>
      <c r="M255" s="3" t="s">
        <v>2841</v>
      </c>
      <c r="N255" s="3"/>
      <c r="O255" s="3"/>
      <c r="P255" s="3" t="s">
        <v>2832</v>
      </c>
      <c r="Q255" s="7" t="s">
        <v>2588</v>
      </c>
      <c r="R255" s="7" t="n">
        <v>99</v>
      </c>
      <c r="S255" s="3" t="s">
        <v>2833</v>
      </c>
      <c r="T255" s="3" t="s">
        <v>2842</v>
      </c>
      <c r="U255" s="7"/>
      <c r="V255" s="3" t="s">
        <v>123</v>
      </c>
      <c r="W255" s="3" t="s">
        <v>2843</v>
      </c>
      <c r="X255" s="3" t="s">
        <v>2844</v>
      </c>
      <c r="Y255" s="3" t="s">
        <v>2845</v>
      </c>
      <c r="Z255" s="8" t="s">
        <v>2846</v>
      </c>
    </row>
    <row r="256" customFormat="false" ht="26.85" hidden="false" customHeight="false" outlineLevel="0" collapsed="false">
      <c r="A256" s="7" t="s">
        <v>2847</v>
      </c>
      <c r="B256" s="7" t="s">
        <v>2828</v>
      </c>
      <c r="C256" s="7"/>
      <c r="D256" s="7" t="n">
        <v>2021</v>
      </c>
      <c r="E256" s="3" t="s">
        <v>2848</v>
      </c>
      <c r="F256" s="7" t="s">
        <v>123</v>
      </c>
      <c r="G256" s="3" t="s">
        <v>124</v>
      </c>
      <c r="H256" s="7" t="s">
        <v>87</v>
      </c>
      <c r="I256" s="7" t="s">
        <v>304</v>
      </c>
      <c r="J256" s="7" t="s">
        <v>305</v>
      </c>
      <c r="K256" s="7" t="s">
        <v>274</v>
      </c>
      <c r="L256" s="3" t="s">
        <v>2808</v>
      </c>
      <c r="M256" s="3" t="s">
        <v>2849</v>
      </c>
      <c r="N256" s="3" t="s">
        <v>2850</v>
      </c>
      <c r="O256" s="3"/>
      <c r="P256" s="3" t="s">
        <v>2587</v>
      </c>
      <c r="Q256" s="7" t="s">
        <v>2588</v>
      </c>
      <c r="R256" s="7" t="n">
        <v>111</v>
      </c>
      <c r="S256" s="3" t="s">
        <v>2851</v>
      </c>
      <c r="T256" s="3" t="s">
        <v>2852</v>
      </c>
      <c r="U256" s="7"/>
      <c r="V256" s="3" t="s">
        <v>296</v>
      </c>
      <c r="W256" s="3" t="s">
        <v>2853</v>
      </c>
      <c r="X256" s="3" t="s">
        <v>2854</v>
      </c>
      <c r="Y256" s="3" t="s">
        <v>2855</v>
      </c>
      <c r="Z256" s="8" t="s">
        <v>2856</v>
      </c>
    </row>
    <row r="257" customFormat="false" ht="26.85" hidden="false" customHeight="false" outlineLevel="0" collapsed="false">
      <c r="A257" s="7" t="s">
        <v>2857</v>
      </c>
      <c r="B257" s="7" t="s">
        <v>2858</v>
      </c>
      <c r="C257" s="7"/>
      <c r="D257" s="7" t="n">
        <v>2021</v>
      </c>
      <c r="E257" s="3" t="s">
        <v>2859</v>
      </c>
      <c r="F257" s="7" t="s">
        <v>123</v>
      </c>
      <c r="G257" s="3" t="s">
        <v>124</v>
      </c>
      <c r="H257" s="7" t="s">
        <v>87</v>
      </c>
      <c r="I257" s="7" t="s">
        <v>666</v>
      </c>
      <c r="J257" s="7" t="s">
        <v>667</v>
      </c>
      <c r="K257" s="7" t="s">
        <v>90</v>
      </c>
      <c r="L257" s="3" t="s">
        <v>1885</v>
      </c>
      <c r="M257" s="3" t="s">
        <v>2860</v>
      </c>
      <c r="N257" s="3" t="s">
        <v>2861</v>
      </c>
      <c r="O257" s="3" t="s">
        <v>2862</v>
      </c>
      <c r="P257" s="3" t="s">
        <v>2773</v>
      </c>
      <c r="Q257" s="7" t="s">
        <v>2588</v>
      </c>
      <c r="R257" s="7" t="n">
        <v>47</v>
      </c>
      <c r="S257" s="3" t="s">
        <v>2774</v>
      </c>
      <c r="T257" s="3" t="s">
        <v>2863</v>
      </c>
      <c r="U257" s="7"/>
      <c r="V257" s="3" t="s">
        <v>296</v>
      </c>
      <c r="W257" s="3" t="s">
        <v>2864</v>
      </c>
      <c r="X257" s="3" t="s">
        <v>2865</v>
      </c>
      <c r="Y257" s="3" t="s">
        <v>2866</v>
      </c>
      <c r="Z257" s="8" t="s">
        <v>2867</v>
      </c>
    </row>
    <row r="258" customFormat="false" ht="26.85" hidden="false" customHeight="false" outlineLevel="0" collapsed="false">
      <c r="A258" s="7" t="s">
        <v>2868</v>
      </c>
      <c r="B258" s="7" t="s">
        <v>2869</v>
      </c>
      <c r="C258" s="7" t="s">
        <v>121</v>
      </c>
      <c r="D258" s="7" t="n">
        <v>2022</v>
      </c>
      <c r="E258" s="3" t="s">
        <v>2870</v>
      </c>
      <c r="F258" s="7" t="s">
        <v>123</v>
      </c>
      <c r="G258" s="3" t="s">
        <v>124</v>
      </c>
      <c r="H258" s="7" t="s">
        <v>87</v>
      </c>
      <c r="I258" s="7" t="s">
        <v>272</v>
      </c>
      <c r="J258" s="7" t="s">
        <v>273</v>
      </c>
      <c r="K258" s="7" t="s">
        <v>274</v>
      </c>
      <c r="L258" s="3" t="s">
        <v>275</v>
      </c>
      <c r="M258" s="3" t="s">
        <v>2871</v>
      </c>
      <c r="N258" s="3" t="s">
        <v>2872</v>
      </c>
      <c r="O258" s="3"/>
      <c r="P258" s="3" t="s">
        <v>2873</v>
      </c>
      <c r="Q258" s="7" t="s">
        <v>2874</v>
      </c>
      <c r="R258" s="7"/>
      <c r="S258" s="3" t="s">
        <v>2875</v>
      </c>
      <c r="T258" s="3" t="s">
        <v>2876</v>
      </c>
      <c r="U258" s="7"/>
      <c r="V258" s="3" t="s">
        <v>296</v>
      </c>
      <c r="W258" s="3" t="s">
        <v>2877</v>
      </c>
      <c r="X258" s="3" t="s">
        <v>2878</v>
      </c>
      <c r="Y258" s="3" t="s">
        <v>2879</v>
      </c>
      <c r="Z258" s="8" t="s">
        <v>2880</v>
      </c>
    </row>
    <row r="259" customFormat="false" ht="26.85" hidden="false" customHeight="false" outlineLevel="0" collapsed="false">
      <c r="A259" s="7" t="s">
        <v>2881</v>
      </c>
      <c r="B259" s="7" t="s">
        <v>2869</v>
      </c>
      <c r="C259" s="7"/>
      <c r="D259" s="7" t="n">
        <v>2022</v>
      </c>
      <c r="E259" s="3" t="s">
        <v>2882</v>
      </c>
      <c r="F259" s="7" t="s">
        <v>123</v>
      </c>
      <c r="G259" s="3" t="s">
        <v>124</v>
      </c>
      <c r="H259" s="7" t="s">
        <v>87</v>
      </c>
      <c r="I259" s="7" t="s">
        <v>1933</v>
      </c>
      <c r="J259" s="7" t="s">
        <v>1934</v>
      </c>
      <c r="K259" s="7" t="s">
        <v>90</v>
      </c>
      <c r="L259" s="3" t="s">
        <v>2883</v>
      </c>
      <c r="M259" s="3" t="s">
        <v>2884</v>
      </c>
      <c r="N259" s="3"/>
      <c r="O259" s="3"/>
      <c r="P259" s="3" t="s">
        <v>2885</v>
      </c>
      <c r="Q259" s="7" t="s">
        <v>2886</v>
      </c>
      <c r="R259" s="7"/>
      <c r="S259" s="3" t="s">
        <v>2887</v>
      </c>
      <c r="T259" s="3" t="s">
        <v>2888</v>
      </c>
      <c r="U259" s="7"/>
      <c r="V259" s="3" t="s">
        <v>296</v>
      </c>
      <c r="W259" s="3" t="s">
        <v>2889</v>
      </c>
      <c r="X259" s="3" t="s">
        <v>2890</v>
      </c>
      <c r="Y259" s="3" t="s">
        <v>1941</v>
      </c>
      <c r="Z259" s="8" t="s">
        <v>1942</v>
      </c>
    </row>
    <row r="260" customFormat="false" ht="39.55" hidden="false" customHeight="false" outlineLevel="0" collapsed="false">
      <c r="A260" s="7" t="s">
        <v>2891</v>
      </c>
      <c r="B260" s="7" t="s">
        <v>2892</v>
      </c>
      <c r="C260" s="7"/>
      <c r="D260" s="7" t="n">
        <v>2022</v>
      </c>
      <c r="E260" s="3" t="s">
        <v>2893</v>
      </c>
      <c r="F260" s="7" t="s">
        <v>123</v>
      </c>
      <c r="G260" s="3" t="s">
        <v>124</v>
      </c>
      <c r="H260" s="7" t="s">
        <v>87</v>
      </c>
      <c r="I260" s="7" t="s">
        <v>1233</v>
      </c>
      <c r="J260" s="7" t="s">
        <v>1234</v>
      </c>
      <c r="K260" s="7" t="s">
        <v>90</v>
      </c>
      <c r="L260" s="3" t="s">
        <v>2428</v>
      </c>
      <c r="M260" s="3" t="s">
        <v>2894</v>
      </c>
      <c r="N260" s="3" t="s">
        <v>2895</v>
      </c>
      <c r="O260" s="3" t="s">
        <v>2896</v>
      </c>
      <c r="P260" s="3" t="s">
        <v>2897</v>
      </c>
      <c r="Q260" s="7" t="s">
        <v>2898</v>
      </c>
      <c r="R260" s="7" t="n">
        <v>291</v>
      </c>
      <c r="S260" s="3" t="s">
        <v>2899</v>
      </c>
      <c r="T260" s="3" t="s">
        <v>2900</v>
      </c>
      <c r="U260" s="7"/>
      <c r="V260" s="3" t="s">
        <v>296</v>
      </c>
      <c r="W260" s="3" t="s">
        <v>2901</v>
      </c>
      <c r="X260" s="3" t="s">
        <v>2902</v>
      </c>
      <c r="Y260" s="3" t="s">
        <v>2903</v>
      </c>
      <c r="Z260" s="8" t="s">
        <v>2904</v>
      </c>
    </row>
    <row r="261" customFormat="false" ht="26.85" hidden="false" customHeight="false" outlineLevel="0" collapsed="false">
      <c r="A261" s="7" t="s">
        <v>2905</v>
      </c>
      <c r="B261" s="7" t="s">
        <v>2892</v>
      </c>
      <c r="C261" s="7"/>
      <c r="D261" s="7" t="n">
        <v>2022</v>
      </c>
      <c r="E261" s="3" t="s">
        <v>2906</v>
      </c>
      <c r="F261" s="7" t="s">
        <v>123</v>
      </c>
      <c r="G261" s="3" t="s">
        <v>124</v>
      </c>
      <c r="H261" s="7" t="s">
        <v>87</v>
      </c>
      <c r="I261" s="7" t="s">
        <v>666</v>
      </c>
      <c r="J261" s="7" t="s">
        <v>667</v>
      </c>
      <c r="K261" s="7" t="s">
        <v>90</v>
      </c>
      <c r="L261" s="3" t="s">
        <v>1885</v>
      </c>
      <c r="M261" s="3" t="s">
        <v>2907</v>
      </c>
      <c r="N261" s="3" t="s">
        <v>2908</v>
      </c>
      <c r="O261" s="3"/>
      <c r="P261" s="3" t="s">
        <v>2773</v>
      </c>
      <c r="Q261" s="7" t="s">
        <v>2588</v>
      </c>
      <c r="R261" s="7"/>
      <c r="S261" s="3" t="s">
        <v>2909</v>
      </c>
      <c r="T261" s="3" t="s">
        <v>2910</v>
      </c>
      <c r="U261" s="7"/>
      <c r="V261" s="3" t="s">
        <v>296</v>
      </c>
      <c r="W261" s="3" t="s">
        <v>2911</v>
      </c>
      <c r="X261" s="3" t="s">
        <v>2912</v>
      </c>
      <c r="Y261" s="3" t="s">
        <v>2913</v>
      </c>
      <c r="Z261" s="8" t="s">
        <v>2914</v>
      </c>
    </row>
    <row r="262" customFormat="false" ht="26.85" hidden="false" customHeight="false" outlineLevel="0" collapsed="false">
      <c r="A262" s="7" t="s">
        <v>2915</v>
      </c>
      <c r="B262" s="7" t="s">
        <v>2916</v>
      </c>
      <c r="C262" s="7"/>
      <c r="D262" s="7" t="n">
        <v>2022</v>
      </c>
      <c r="E262" s="3" t="s">
        <v>2917</v>
      </c>
      <c r="F262" s="7" t="s">
        <v>140</v>
      </c>
      <c r="G262" s="3" t="s">
        <v>141</v>
      </c>
      <c r="H262" s="7" t="s">
        <v>100</v>
      </c>
      <c r="I262" s="7" t="s">
        <v>941</v>
      </c>
      <c r="J262" s="7" t="s">
        <v>942</v>
      </c>
      <c r="K262" s="7" t="s">
        <v>103</v>
      </c>
      <c r="L262" s="3"/>
      <c r="M262" s="3" t="s">
        <v>2918</v>
      </c>
      <c r="N262" s="3"/>
      <c r="O262" s="3"/>
      <c r="P262" s="3"/>
      <c r="Q262" s="7"/>
      <c r="R262" s="7"/>
      <c r="S262" s="3"/>
      <c r="T262" s="3" t="s">
        <v>2919</v>
      </c>
      <c r="U262" s="7"/>
      <c r="V262" s="3" t="s">
        <v>140</v>
      </c>
      <c r="W262" s="3" t="s">
        <v>2920</v>
      </c>
      <c r="X262" s="3" t="s">
        <v>2921</v>
      </c>
      <c r="Y262" s="3" t="s">
        <v>2922</v>
      </c>
      <c r="Z262" s="8" t="s">
        <v>2923</v>
      </c>
    </row>
    <row r="263" customFormat="false" ht="26.85" hidden="false" customHeight="false" outlineLevel="0" collapsed="false">
      <c r="A263" s="7" t="s">
        <v>2924</v>
      </c>
      <c r="B263" s="7" t="s">
        <v>2925</v>
      </c>
      <c r="C263" s="7"/>
      <c r="D263" s="7" t="n">
        <v>2022</v>
      </c>
      <c r="E263" s="3" t="s">
        <v>2926</v>
      </c>
      <c r="F263" s="7" t="s">
        <v>123</v>
      </c>
      <c r="G263" s="3" t="s">
        <v>124</v>
      </c>
      <c r="H263" s="7" t="s">
        <v>87</v>
      </c>
      <c r="I263" s="7" t="s">
        <v>1233</v>
      </c>
      <c r="J263" s="7" t="s">
        <v>1234</v>
      </c>
      <c r="K263" s="7" t="s">
        <v>90</v>
      </c>
      <c r="L263" s="3" t="s">
        <v>2428</v>
      </c>
      <c r="M263" s="3" t="s">
        <v>2927</v>
      </c>
      <c r="N263" s="3"/>
      <c r="O263" s="3"/>
      <c r="P263" s="3" t="s">
        <v>2897</v>
      </c>
      <c r="Q263" s="7" t="s">
        <v>2898</v>
      </c>
      <c r="R263" s="7" t="n">
        <v>211</v>
      </c>
      <c r="S263" s="3" t="s">
        <v>2899</v>
      </c>
      <c r="T263" s="3" t="s">
        <v>2928</v>
      </c>
      <c r="U263" s="7"/>
      <c r="V263" s="3" t="s">
        <v>296</v>
      </c>
      <c r="W263" s="3" t="s">
        <v>2929</v>
      </c>
      <c r="X263" s="3" t="s">
        <v>2930</v>
      </c>
      <c r="Y263" s="3" t="s">
        <v>2931</v>
      </c>
      <c r="Z263" s="8" t="s">
        <v>2932</v>
      </c>
    </row>
    <row r="264" customFormat="false" ht="26.85" hidden="false" customHeight="false" outlineLevel="0" collapsed="false">
      <c r="A264" s="7" t="s">
        <v>2933</v>
      </c>
      <c r="B264" s="7" t="s">
        <v>2934</v>
      </c>
      <c r="C264" s="7"/>
      <c r="D264" s="7" t="n">
        <v>2022</v>
      </c>
      <c r="E264" s="3" t="s">
        <v>2935</v>
      </c>
      <c r="F264" s="7" t="s">
        <v>85</v>
      </c>
      <c r="G264" s="3" t="s">
        <v>86</v>
      </c>
      <c r="H264" s="7" t="s">
        <v>87</v>
      </c>
      <c r="I264" s="7" t="s">
        <v>225</v>
      </c>
      <c r="J264" s="7" t="s">
        <v>226</v>
      </c>
      <c r="K264" s="7" t="s">
        <v>2121</v>
      </c>
      <c r="L264" s="3"/>
      <c r="M264" s="3" t="s">
        <v>2936</v>
      </c>
      <c r="N264" s="3"/>
      <c r="O264" s="3"/>
      <c r="P264" s="3"/>
      <c r="Q264" s="7"/>
      <c r="R264" s="7"/>
      <c r="S264" s="3"/>
      <c r="T264" s="3" t="s">
        <v>2937</v>
      </c>
      <c r="U264" s="7"/>
      <c r="V264" s="3" t="s">
        <v>85</v>
      </c>
      <c r="W264" s="3" t="s">
        <v>2938</v>
      </c>
      <c r="X264" s="3" t="s">
        <v>2939</v>
      </c>
      <c r="Y264" s="3" t="s">
        <v>2940</v>
      </c>
      <c r="Z264" s="8" t="s">
        <v>2941</v>
      </c>
    </row>
    <row r="265" customFormat="false" ht="26.85" hidden="false" customHeight="false" outlineLevel="0" collapsed="false">
      <c r="A265" s="7" t="s">
        <v>2942</v>
      </c>
      <c r="B265" s="7" t="s">
        <v>2934</v>
      </c>
      <c r="C265" s="7"/>
      <c r="D265" s="7" t="n">
        <v>2022</v>
      </c>
      <c r="E265" s="3" t="s">
        <v>2943</v>
      </c>
      <c r="F265" s="7" t="s">
        <v>85</v>
      </c>
      <c r="G265" s="3" t="s">
        <v>86</v>
      </c>
      <c r="H265" s="7" t="s">
        <v>87</v>
      </c>
      <c r="I265" s="7" t="s">
        <v>703</v>
      </c>
      <c r="J265" s="7" t="s">
        <v>704</v>
      </c>
      <c r="K265" s="7" t="s">
        <v>90</v>
      </c>
      <c r="L265" s="3" t="s">
        <v>2944</v>
      </c>
      <c r="M265" s="3" t="s">
        <v>2945</v>
      </c>
      <c r="N265" s="3" t="s">
        <v>2946</v>
      </c>
      <c r="O265" s="3"/>
      <c r="P265" s="3"/>
      <c r="Q265" s="7"/>
      <c r="R265" s="7"/>
      <c r="S265" s="3"/>
      <c r="T265" s="3" t="s">
        <v>2947</v>
      </c>
      <c r="U265" s="7"/>
      <c r="V265" s="3" t="s">
        <v>85</v>
      </c>
      <c r="W265" s="3" t="s">
        <v>2948</v>
      </c>
      <c r="X265" s="3" t="s">
        <v>2949</v>
      </c>
      <c r="Y265" s="3" t="s">
        <v>2950</v>
      </c>
      <c r="Z265" s="8" t="s">
        <v>2951</v>
      </c>
    </row>
    <row r="266" customFormat="false" ht="26.85" hidden="false" customHeight="false" outlineLevel="0" collapsed="false">
      <c r="A266" s="7" t="s">
        <v>2952</v>
      </c>
      <c r="B266" s="7" t="s">
        <v>2934</v>
      </c>
      <c r="C266" s="7"/>
      <c r="D266" s="7" t="n">
        <v>2022</v>
      </c>
      <c r="E266" s="3" t="s">
        <v>2953</v>
      </c>
      <c r="F266" s="7" t="s">
        <v>123</v>
      </c>
      <c r="G266" s="3" t="s">
        <v>124</v>
      </c>
      <c r="H266" s="7" t="s">
        <v>87</v>
      </c>
      <c r="I266" s="7" t="s">
        <v>2954</v>
      </c>
      <c r="J266" s="7" t="s">
        <v>2955</v>
      </c>
      <c r="K266" s="7" t="s">
        <v>2956</v>
      </c>
      <c r="L266" s="3" t="s">
        <v>2957</v>
      </c>
      <c r="M266" s="3" t="s">
        <v>2958</v>
      </c>
      <c r="N266" s="3"/>
      <c r="O266" s="3"/>
      <c r="P266" s="3" t="s">
        <v>2959</v>
      </c>
      <c r="Q266" s="7" t="s">
        <v>2886</v>
      </c>
      <c r="R266" s="7" t="n">
        <v>214</v>
      </c>
      <c r="S266" s="3" t="s">
        <v>2960</v>
      </c>
      <c r="T266" s="3" t="s">
        <v>2961</v>
      </c>
      <c r="U266" s="7"/>
      <c r="V266" s="3" t="s">
        <v>296</v>
      </c>
      <c r="W266" s="3" t="s">
        <v>2962</v>
      </c>
      <c r="X266" s="3" t="s">
        <v>2963</v>
      </c>
      <c r="Y266" s="3" t="s">
        <v>2964</v>
      </c>
      <c r="Z266" s="8" t="s">
        <v>2965</v>
      </c>
    </row>
    <row r="267" customFormat="false" ht="26.85" hidden="false" customHeight="false" outlineLevel="0" collapsed="false">
      <c r="A267" s="7" t="s">
        <v>2966</v>
      </c>
      <c r="B267" s="7" t="s">
        <v>2967</v>
      </c>
      <c r="C267" s="7" t="s">
        <v>121</v>
      </c>
      <c r="D267" s="7" t="n">
        <v>2022</v>
      </c>
      <c r="E267" s="3" t="s">
        <v>2968</v>
      </c>
      <c r="F267" s="7" t="s">
        <v>140</v>
      </c>
      <c r="G267" s="3" t="s">
        <v>141</v>
      </c>
      <c r="H267" s="7" t="s">
        <v>100</v>
      </c>
      <c r="I267" s="7" t="s">
        <v>101</v>
      </c>
      <c r="J267" s="7" t="s">
        <v>102</v>
      </c>
      <c r="K267" s="7" t="s">
        <v>103</v>
      </c>
      <c r="L267" s="3" t="s">
        <v>1700</v>
      </c>
      <c r="M267" s="3" t="s">
        <v>2969</v>
      </c>
      <c r="N267" s="3" t="s">
        <v>2970</v>
      </c>
      <c r="O267" s="3"/>
      <c r="P267" s="3"/>
      <c r="Q267" s="7"/>
      <c r="R267" s="7"/>
      <c r="S267" s="3"/>
      <c r="T267" s="3" t="s">
        <v>2971</v>
      </c>
      <c r="U267" s="7"/>
      <c r="V267" s="3" t="s">
        <v>140</v>
      </c>
      <c r="W267" s="3" t="s">
        <v>2972</v>
      </c>
      <c r="X267" s="3" t="s">
        <v>2973</v>
      </c>
      <c r="Y267" s="3" t="s">
        <v>2974</v>
      </c>
      <c r="Z267" s="8" t="s">
        <v>2975</v>
      </c>
    </row>
    <row r="268" customFormat="false" ht="26.85" hidden="false" customHeight="false" outlineLevel="0" collapsed="false">
      <c r="A268" s="7" t="s">
        <v>2976</v>
      </c>
      <c r="B268" s="7" t="s">
        <v>2967</v>
      </c>
      <c r="C268" s="7" t="s">
        <v>121</v>
      </c>
      <c r="D268" s="7" t="n">
        <v>2022</v>
      </c>
      <c r="E268" s="3" t="s">
        <v>2977</v>
      </c>
      <c r="F268" s="7" t="s">
        <v>140</v>
      </c>
      <c r="G268" s="3" t="s">
        <v>141</v>
      </c>
      <c r="H268" s="7" t="s">
        <v>87</v>
      </c>
      <c r="I268" s="7" t="s">
        <v>259</v>
      </c>
      <c r="J268" s="7" t="s">
        <v>260</v>
      </c>
      <c r="K268" s="7" t="s">
        <v>261</v>
      </c>
      <c r="L268" s="3" t="s">
        <v>262</v>
      </c>
      <c r="M268" s="3" t="s">
        <v>2978</v>
      </c>
      <c r="N268" s="3" t="s">
        <v>2979</v>
      </c>
      <c r="O268" s="3"/>
      <c r="P268" s="3"/>
      <c r="Q268" s="7"/>
      <c r="R268" s="7"/>
      <c r="S268" s="3"/>
      <c r="T268" s="3" t="s">
        <v>2980</v>
      </c>
      <c r="U268" s="7"/>
      <c r="V268" s="3" t="s">
        <v>140</v>
      </c>
      <c r="W268" s="3" t="s">
        <v>2981</v>
      </c>
      <c r="X268" s="3" t="s">
        <v>2982</v>
      </c>
      <c r="Y268" s="3" t="s">
        <v>2983</v>
      </c>
      <c r="Z268" s="8" t="s">
        <v>2984</v>
      </c>
    </row>
    <row r="269" customFormat="false" ht="39.55" hidden="false" customHeight="false" outlineLevel="0" collapsed="false">
      <c r="A269" s="7" t="s">
        <v>2985</v>
      </c>
      <c r="B269" s="7" t="s">
        <v>2986</v>
      </c>
      <c r="C269" s="7"/>
      <c r="D269" s="7" t="n">
        <v>2022</v>
      </c>
      <c r="E269" s="3" t="s">
        <v>2987</v>
      </c>
      <c r="F269" s="7" t="s">
        <v>123</v>
      </c>
      <c r="G269" s="3" t="s">
        <v>124</v>
      </c>
      <c r="H269" s="7" t="s">
        <v>87</v>
      </c>
      <c r="I269" s="7" t="s">
        <v>88</v>
      </c>
      <c r="J269" s="7" t="s">
        <v>89</v>
      </c>
      <c r="K269" s="7" t="s">
        <v>90</v>
      </c>
      <c r="L269" s="3" t="s">
        <v>2988</v>
      </c>
      <c r="M269" s="3" t="s">
        <v>2989</v>
      </c>
      <c r="N269" s="3" t="s">
        <v>2990</v>
      </c>
      <c r="O269" s="3" t="s">
        <v>2991</v>
      </c>
      <c r="P269" s="3" t="s">
        <v>2992</v>
      </c>
      <c r="Q269" s="7" t="s">
        <v>2993</v>
      </c>
      <c r="R269" s="7" t="n">
        <v>45</v>
      </c>
      <c r="S269" s="3" t="s">
        <v>2994</v>
      </c>
      <c r="T269" s="3" t="s">
        <v>2995</v>
      </c>
      <c r="U269" s="7"/>
      <c r="V269" s="3" t="s">
        <v>296</v>
      </c>
      <c r="W269" s="3" t="s">
        <v>2996</v>
      </c>
      <c r="X269" s="3" t="s">
        <v>2997</v>
      </c>
      <c r="Y269" s="3" t="s">
        <v>2998</v>
      </c>
      <c r="Z269" s="8" t="s">
        <v>2999</v>
      </c>
    </row>
    <row r="270" customFormat="false" ht="26.85" hidden="false" customHeight="false" outlineLevel="0" collapsed="false">
      <c r="A270" s="7" t="s">
        <v>3000</v>
      </c>
      <c r="B270" s="7" t="s">
        <v>2986</v>
      </c>
      <c r="C270" s="7"/>
      <c r="D270" s="7" t="n">
        <v>2022</v>
      </c>
      <c r="E270" s="3" t="s">
        <v>3001</v>
      </c>
      <c r="F270" s="7" t="s">
        <v>123</v>
      </c>
      <c r="G270" s="3" t="s">
        <v>124</v>
      </c>
      <c r="H270" s="7" t="s">
        <v>87</v>
      </c>
      <c r="I270" s="7" t="s">
        <v>88</v>
      </c>
      <c r="J270" s="7" t="s">
        <v>89</v>
      </c>
      <c r="K270" s="7" t="s">
        <v>90</v>
      </c>
      <c r="L270" s="3" t="s">
        <v>3002</v>
      </c>
      <c r="M270" s="3" t="s">
        <v>3003</v>
      </c>
      <c r="N270" s="3" t="s">
        <v>3004</v>
      </c>
      <c r="O270" s="3" t="s">
        <v>3005</v>
      </c>
      <c r="P270" s="3" t="s">
        <v>2992</v>
      </c>
      <c r="Q270" s="7" t="s">
        <v>2993</v>
      </c>
      <c r="R270" s="7" t="n">
        <v>48</v>
      </c>
      <c r="S270" s="3" t="s">
        <v>3006</v>
      </c>
      <c r="T270" s="3" t="s">
        <v>3007</v>
      </c>
      <c r="U270" s="7"/>
      <c r="V270" s="3" t="s">
        <v>296</v>
      </c>
      <c r="W270" s="3" t="s">
        <v>3008</v>
      </c>
      <c r="X270" s="3" t="s">
        <v>3009</v>
      </c>
      <c r="Y270" s="3" t="s">
        <v>3010</v>
      </c>
      <c r="Z270" s="8" t="s">
        <v>3011</v>
      </c>
    </row>
    <row r="271" customFormat="false" ht="26.85" hidden="false" customHeight="false" outlineLevel="0" collapsed="false">
      <c r="A271" s="7" t="s">
        <v>3012</v>
      </c>
      <c r="B271" s="7" t="s">
        <v>2986</v>
      </c>
      <c r="C271" s="7"/>
      <c r="D271" s="7" t="n">
        <v>2022</v>
      </c>
      <c r="E271" s="3" t="s">
        <v>3013</v>
      </c>
      <c r="F271" s="7" t="s">
        <v>85</v>
      </c>
      <c r="G271" s="3" t="s">
        <v>86</v>
      </c>
      <c r="H271" s="7" t="s">
        <v>87</v>
      </c>
      <c r="I271" s="7" t="s">
        <v>2247</v>
      </c>
      <c r="J271" s="7" t="s">
        <v>2248</v>
      </c>
      <c r="K271" s="7" t="s">
        <v>3014</v>
      </c>
      <c r="L271" s="3" t="s">
        <v>3015</v>
      </c>
      <c r="M271" s="3" t="s">
        <v>3016</v>
      </c>
      <c r="N271" s="3" t="s">
        <v>3017</v>
      </c>
      <c r="O271" s="3" t="s">
        <v>2811</v>
      </c>
      <c r="P271" s="3"/>
      <c r="Q271" s="7"/>
      <c r="R271" s="7"/>
      <c r="S271" s="3"/>
      <c r="T271" s="3" t="s">
        <v>3018</v>
      </c>
      <c r="U271" s="7"/>
      <c r="V271" s="3" t="s">
        <v>743</v>
      </c>
      <c r="W271" s="3" t="s">
        <v>3019</v>
      </c>
      <c r="X271" s="3" t="s">
        <v>3020</v>
      </c>
      <c r="Y271" s="3" t="s">
        <v>3021</v>
      </c>
      <c r="Z271" s="8" t="s">
        <v>3022</v>
      </c>
    </row>
    <row r="272" customFormat="false" ht="26.85" hidden="false" customHeight="false" outlineLevel="0" collapsed="false">
      <c r="A272" s="7" t="s">
        <v>3023</v>
      </c>
      <c r="B272" s="7" t="s">
        <v>2986</v>
      </c>
      <c r="C272" s="7"/>
      <c r="D272" s="7" t="n">
        <v>2022</v>
      </c>
      <c r="E272" s="3" t="s">
        <v>3024</v>
      </c>
      <c r="F272" s="7" t="s">
        <v>140</v>
      </c>
      <c r="G272" s="3" t="s">
        <v>141</v>
      </c>
      <c r="H272" s="7" t="s">
        <v>87</v>
      </c>
      <c r="I272" s="7" t="s">
        <v>502</v>
      </c>
      <c r="J272" s="7" t="s">
        <v>503</v>
      </c>
      <c r="K272" s="7" t="s">
        <v>2399</v>
      </c>
      <c r="L272" s="3" t="s">
        <v>3025</v>
      </c>
      <c r="M272" s="3" t="s">
        <v>3026</v>
      </c>
      <c r="N272" s="3"/>
      <c r="O272" s="3" t="s">
        <v>3027</v>
      </c>
      <c r="P272" s="3"/>
      <c r="Q272" s="7"/>
      <c r="R272" s="7"/>
      <c r="S272" s="3"/>
      <c r="T272" s="3" t="s">
        <v>3028</v>
      </c>
      <c r="U272" s="7"/>
      <c r="V272" s="3" t="s">
        <v>140</v>
      </c>
      <c r="W272" s="3" t="s">
        <v>3029</v>
      </c>
      <c r="X272" s="3" t="s">
        <v>3030</v>
      </c>
      <c r="Y272" s="3" t="s">
        <v>3031</v>
      </c>
      <c r="Z272" s="8" t="s">
        <v>3032</v>
      </c>
    </row>
    <row r="273" customFormat="false" ht="26.85" hidden="false" customHeight="false" outlineLevel="0" collapsed="false">
      <c r="A273" s="7" t="s">
        <v>3033</v>
      </c>
      <c r="B273" s="7" t="s">
        <v>2986</v>
      </c>
      <c r="C273" s="7"/>
      <c r="D273" s="7" t="n">
        <v>2022</v>
      </c>
      <c r="E273" s="3" t="s">
        <v>3034</v>
      </c>
      <c r="F273" s="7" t="s">
        <v>123</v>
      </c>
      <c r="G273" s="3" t="s">
        <v>124</v>
      </c>
      <c r="H273" s="7" t="s">
        <v>87</v>
      </c>
      <c r="I273" s="7" t="s">
        <v>3035</v>
      </c>
      <c r="J273" s="7" t="s">
        <v>3036</v>
      </c>
      <c r="K273" s="7" t="s">
        <v>3037</v>
      </c>
      <c r="L273" s="3" t="s">
        <v>3038</v>
      </c>
      <c r="M273" s="3" t="s">
        <v>3039</v>
      </c>
      <c r="N273" s="3"/>
      <c r="O273" s="3" t="s">
        <v>3040</v>
      </c>
      <c r="P273" s="3" t="s">
        <v>3041</v>
      </c>
      <c r="Q273" s="7" t="s">
        <v>2886</v>
      </c>
      <c r="R273" s="7" t="n">
        <v>136</v>
      </c>
      <c r="S273" s="3" t="s">
        <v>3042</v>
      </c>
      <c r="T273" s="3" t="s">
        <v>3043</v>
      </c>
      <c r="U273" s="7"/>
      <c r="V273" s="3" t="s">
        <v>296</v>
      </c>
      <c r="W273" s="3" t="s">
        <v>3044</v>
      </c>
      <c r="X273" s="3" t="s">
        <v>3045</v>
      </c>
      <c r="Y273" s="3" t="s">
        <v>3046</v>
      </c>
      <c r="Z273" s="8" t="s">
        <v>3047</v>
      </c>
    </row>
    <row r="274" customFormat="false" ht="26.85" hidden="false" customHeight="false" outlineLevel="0" collapsed="false">
      <c r="A274" s="7" t="s">
        <v>3048</v>
      </c>
      <c r="B274" s="7" t="s">
        <v>3049</v>
      </c>
      <c r="C274" s="7"/>
      <c r="D274" s="7" t="n">
        <v>2023</v>
      </c>
      <c r="E274" s="3" t="s">
        <v>3050</v>
      </c>
      <c r="F274" s="7" t="s">
        <v>85</v>
      </c>
      <c r="G274" s="3" t="s">
        <v>86</v>
      </c>
      <c r="H274" s="7" t="s">
        <v>87</v>
      </c>
      <c r="I274" s="7" t="s">
        <v>1233</v>
      </c>
      <c r="J274" s="7" t="s">
        <v>1234</v>
      </c>
      <c r="K274" s="7" t="s">
        <v>274</v>
      </c>
      <c r="L274" s="3"/>
      <c r="M274" s="3" t="s">
        <v>3051</v>
      </c>
      <c r="N274" s="3"/>
      <c r="O274" s="3" t="s">
        <v>3052</v>
      </c>
      <c r="P274" s="3"/>
      <c r="Q274" s="7"/>
      <c r="R274" s="7"/>
      <c r="S274" s="3"/>
      <c r="T274" s="3" t="s">
        <v>3053</v>
      </c>
      <c r="U274" s="7"/>
      <c r="V274" s="3" t="s">
        <v>85</v>
      </c>
      <c r="W274" s="3" t="s">
        <v>3054</v>
      </c>
      <c r="X274" s="3" t="s">
        <v>3055</v>
      </c>
      <c r="Y274" s="3" t="s">
        <v>3056</v>
      </c>
      <c r="Z274" s="8" t="s">
        <v>3057</v>
      </c>
    </row>
    <row r="275" customFormat="false" ht="26.85" hidden="false" customHeight="false" outlineLevel="0" collapsed="false">
      <c r="A275" s="7" t="s">
        <v>3058</v>
      </c>
      <c r="B275" s="7" t="s">
        <v>3049</v>
      </c>
      <c r="C275" s="7" t="s">
        <v>121</v>
      </c>
      <c r="D275" s="7" t="n">
        <v>2023</v>
      </c>
      <c r="E275" s="3" t="s">
        <v>3059</v>
      </c>
      <c r="F275" s="7" t="s">
        <v>140</v>
      </c>
      <c r="G275" s="3" t="s">
        <v>141</v>
      </c>
      <c r="H275" s="7" t="s">
        <v>100</v>
      </c>
      <c r="I275" s="7" t="s">
        <v>101</v>
      </c>
      <c r="J275" s="7" t="s">
        <v>102</v>
      </c>
      <c r="K275" s="7" t="s">
        <v>103</v>
      </c>
      <c r="L275" s="3"/>
      <c r="M275" s="3" t="s">
        <v>3060</v>
      </c>
      <c r="N275" s="3" t="s">
        <v>3061</v>
      </c>
      <c r="O275" s="3"/>
      <c r="P275" s="3"/>
      <c r="Q275" s="7"/>
      <c r="R275" s="7"/>
      <c r="S275" s="3"/>
      <c r="T275" s="3" t="s">
        <v>3062</v>
      </c>
      <c r="U275" s="7"/>
      <c r="V275" s="3" t="s">
        <v>140</v>
      </c>
      <c r="W275" s="3" t="s">
        <v>3063</v>
      </c>
      <c r="X275" s="3" t="s">
        <v>3064</v>
      </c>
      <c r="Y275" s="3" t="s">
        <v>3065</v>
      </c>
      <c r="Z275" s="8" t="s">
        <v>3066</v>
      </c>
    </row>
    <row r="276" customFormat="false" ht="26.85" hidden="false" customHeight="false" outlineLevel="0" collapsed="false">
      <c r="A276" s="7" t="s">
        <v>3067</v>
      </c>
      <c r="B276" s="7" t="s">
        <v>3049</v>
      </c>
      <c r="C276" s="7"/>
      <c r="D276" s="7" t="n">
        <v>2023</v>
      </c>
      <c r="E276" s="3" t="s">
        <v>3068</v>
      </c>
      <c r="F276" s="7" t="s">
        <v>123</v>
      </c>
      <c r="G276" s="3" t="s">
        <v>124</v>
      </c>
      <c r="H276" s="7" t="s">
        <v>87</v>
      </c>
      <c r="I276" s="7" t="s">
        <v>317</v>
      </c>
      <c r="J276" s="7" t="s">
        <v>318</v>
      </c>
      <c r="K276" s="7" t="s">
        <v>90</v>
      </c>
      <c r="L276" s="3" t="s">
        <v>716</v>
      </c>
      <c r="M276" s="3" t="s">
        <v>3069</v>
      </c>
      <c r="N276" s="3"/>
      <c r="O276" s="3" t="s">
        <v>3070</v>
      </c>
      <c r="P276" s="3" t="s">
        <v>3071</v>
      </c>
      <c r="Q276" s="7" t="s">
        <v>2874</v>
      </c>
      <c r="R276" s="7"/>
      <c r="S276" s="3" t="s">
        <v>3072</v>
      </c>
      <c r="T276" s="3" t="s">
        <v>3073</v>
      </c>
      <c r="U276" s="7"/>
      <c r="V276" s="3" t="s">
        <v>296</v>
      </c>
      <c r="W276" s="3" t="s">
        <v>3074</v>
      </c>
      <c r="X276" s="3" t="s">
        <v>3075</v>
      </c>
      <c r="Y276" s="3" t="s">
        <v>3076</v>
      </c>
      <c r="Z276" s="8" t="s">
        <v>3077</v>
      </c>
    </row>
    <row r="277" customFormat="false" ht="26.85" hidden="false" customHeight="false" outlineLevel="0" collapsed="false">
      <c r="A277" s="7" t="s">
        <v>3078</v>
      </c>
      <c r="B277" s="7" t="s">
        <v>3049</v>
      </c>
      <c r="C277" s="7"/>
      <c r="D277" s="7" t="n">
        <v>2023</v>
      </c>
      <c r="E277" s="3" t="s">
        <v>3079</v>
      </c>
      <c r="F277" s="7" t="s">
        <v>140</v>
      </c>
      <c r="G277" s="3" t="s">
        <v>141</v>
      </c>
      <c r="H277" s="7" t="s">
        <v>87</v>
      </c>
      <c r="I277" s="7" t="s">
        <v>1114</v>
      </c>
      <c r="J277" s="7" t="s">
        <v>1115</v>
      </c>
      <c r="K277" s="7" t="s">
        <v>3080</v>
      </c>
      <c r="L277" s="3" t="s">
        <v>3081</v>
      </c>
      <c r="M277" s="3" t="s">
        <v>3082</v>
      </c>
      <c r="N277" s="3"/>
      <c r="O277" s="3"/>
      <c r="P277" s="3"/>
      <c r="Q277" s="7"/>
      <c r="R277" s="7"/>
      <c r="S277" s="3"/>
      <c r="T277" s="3" t="s">
        <v>3083</v>
      </c>
      <c r="U277" s="7"/>
      <c r="V277" s="3" t="s">
        <v>140</v>
      </c>
      <c r="W277" s="3" t="s">
        <v>3084</v>
      </c>
      <c r="X277" s="3" t="s">
        <v>3085</v>
      </c>
      <c r="Y277" s="3" t="s">
        <v>3086</v>
      </c>
      <c r="Z277" s="8" t="s">
        <v>3087</v>
      </c>
    </row>
    <row r="278" customFormat="false" ht="26.85" hidden="false" customHeight="false" outlineLevel="0" collapsed="false">
      <c r="A278" s="7" t="s">
        <v>3088</v>
      </c>
      <c r="B278" s="7" t="s">
        <v>3089</v>
      </c>
      <c r="C278" s="7"/>
      <c r="D278" s="7" t="n">
        <v>2023</v>
      </c>
      <c r="E278" s="3" t="s">
        <v>3090</v>
      </c>
      <c r="F278" s="7" t="s">
        <v>140</v>
      </c>
      <c r="G278" s="3" t="s">
        <v>141</v>
      </c>
      <c r="H278" s="7" t="s">
        <v>87</v>
      </c>
      <c r="I278" s="7" t="s">
        <v>1233</v>
      </c>
      <c r="J278" s="7" t="s">
        <v>1234</v>
      </c>
      <c r="K278" s="7" t="s">
        <v>274</v>
      </c>
      <c r="L278" s="3" t="s">
        <v>3091</v>
      </c>
      <c r="M278" s="3" t="s">
        <v>3092</v>
      </c>
      <c r="N278" s="3" t="s">
        <v>3093</v>
      </c>
      <c r="O278" s="3"/>
      <c r="P278" s="3"/>
      <c r="Q278" s="7"/>
      <c r="R278" s="7"/>
      <c r="S278" s="3"/>
      <c r="T278" s="3" t="s">
        <v>3094</v>
      </c>
      <c r="U278" s="7"/>
      <c r="V278" s="3" t="s">
        <v>123</v>
      </c>
      <c r="W278" s="3" t="s">
        <v>3095</v>
      </c>
      <c r="X278" s="3" t="s">
        <v>3096</v>
      </c>
      <c r="Y278" s="3" t="s">
        <v>3097</v>
      </c>
      <c r="Z278" s="8" t="s">
        <v>3098</v>
      </c>
    </row>
    <row r="279" customFormat="false" ht="39.55" hidden="false" customHeight="false" outlineLevel="0" collapsed="false">
      <c r="A279" s="7" t="s">
        <v>3099</v>
      </c>
      <c r="B279" s="7" t="s">
        <v>3089</v>
      </c>
      <c r="C279" s="7"/>
      <c r="D279" s="7" t="n">
        <v>2023</v>
      </c>
      <c r="E279" s="3" t="s">
        <v>3100</v>
      </c>
      <c r="F279" s="7" t="s">
        <v>85</v>
      </c>
      <c r="G279" s="3" t="s">
        <v>86</v>
      </c>
      <c r="H279" s="7" t="s">
        <v>87</v>
      </c>
      <c r="I279" s="7" t="s">
        <v>1341</v>
      </c>
      <c r="J279" s="7" t="s">
        <v>1342</v>
      </c>
      <c r="K279" s="7" t="s">
        <v>90</v>
      </c>
      <c r="L279" s="3" t="s">
        <v>3101</v>
      </c>
      <c r="M279" s="3" t="s">
        <v>3102</v>
      </c>
      <c r="N279" s="3" t="s">
        <v>3103</v>
      </c>
      <c r="O279" s="3" t="s">
        <v>3104</v>
      </c>
      <c r="P279" s="3"/>
      <c r="Q279" s="7"/>
      <c r="R279" s="7"/>
      <c r="S279" s="3"/>
      <c r="T279" s="3" t="s">
        <v>3105</v>
      </c>
      <c r="U279" s="7"/>
      <c r="V279" s="3" t="s">
        <v>85</v>
      </c>
      <c r="W279" s="3" t="s">
        <v>3106</v>
      </c>
      <c r="X279" s="3" t="s">
        <v>3107</v>
      </c>
      <c r="Y279" s="3" t="s">
        <v>3108</v>
      </c>
      <c r="Z279" s="8" t="s">
        <v>3109</v>
      </c>
    </row>
    <row r="280" customFormat="false" ht="26.85" hidden="false" customHeight="false" outlineLevel="0" collapsed="false">
      <c r="A280" s="7" t="s">
        <v>3110</v>
      </c>
      <c r="B280" s="7" t="s">
        <v>2886</v>
      </c>
      <c r="C280" s="7"/>
      <c r="D280" s="7" t="n">
        <v>2023</v>
      </c>
      <c r="E280" s="3" t="s">
        <v>3111</v>
      </c>
      <c r="F280" s="7" t="s">
        <v>123</v>
      </c>
      <c r="G280" s="3" t="s">
        <v>124</v>
      </c>
      <c r="H280" s="7" t="s">
        <v>87</v>
      </c>
      <c r="I280" s="7" t="s">
        <v>382</v>
      </c>
      <c r="J280" s="7" t="s">
        <v>383</v>
      </c>
      <c r="K280" s="7" t="s">
        <v>90</v>
      </c>
      <c r="L280" s="3" t="s">
        <v>3112</v>
      </c>
      <c r="M280" s="3" t="s">
        <v>3113</v>
      </c>
      <c r="N280" s="3" t="s">
        <v>3114</v>
      </c>
      <c r="O280" s="3"/>
      <c r="P280" s="3" t="s">
        <v>3115</v>
      </c>
      <c r="Q280" s="7" t="s">
        <v>3116</v>
      </c>
      <c r="R280" s="7" t="n">
        <v>82</v>
      </c>
      <c r="S280" s="3" t="s">
        <v>3117</v>
      </c>
      <c r="T280" s="3" t="s">
        <v>3118</v>
      </c>
      <c r="U280" s="7"/>
      <c r="V280" s="3" t="s">
        <v>296</v>
      </c>
      <c r="W280" s="3" t="s">
        <v>3119</v>
      </c>
      <c r="X280" s="3" t="s">
        <v>3120</v>
      </c>
      <c r="Y280" s="3" t="s">
        <v>3121</v>
      </c>
      <c r="Z280" s="8" t="s">
        <v>3122</v>
      </c>
    </row>
    <row r="281" customFormat="false" ht="26.85" hidden="false" customHeight="false" outlineLevel="0" collapsed="false">
      <c r="A281" s="7" t="s">
        <v>3123</v>
      </c>
      <c r="B281" s="7" t="s">
        <v>2886</v>
      </c>
      <c r="C281" s="7"/>
      <c r="D281" s="7" t="n">
        <v>2023</v>
      </c>
      <c r="E281" s="3" t="s">
        <v>3124</v>
      </c>
      <c r="F281" s="7" t="s">
        <v>123</v>
      </c>
      <c r="G281" s="3" t="s">
        <v>124</v>
      </c>
      <c r="H281" s="7" t="s">
        <v>100</v>
      </c>
      <c r="I281" s="7" t="s">
        <v>382</v>
      </c>
      <c r="J281" s="7" t="s">
        <v>383</v>
      </c>
      <c r="K281" s="7" t="s">
        <v>103</v>
      </c>
      <c r="L281" s="3" t="s">
        <v>1535</v>
      </c>
      <c r="M281" s="3" t="s">
        <v>3125</v>
      </c>
      <c r="N281" s="3" t="s">
        <v>3126</v>
      </c>
      <c r="O281" s="3" t="s">
        <v>3127</v>
      </c>
      <c r="P281" s="3" t="s">
        <v>3115</v>
      </c>
      <c r="Q281" s="7" t="s">
        <v>3116</v>
      </c>
      <c r="R281" s="7" t="n">
        <v>72</v>
      </c>
      <c r="S281" s="3" t="s">
        <v>3128</v>
      </c>
      <c r="T281" s="3" t="s">
        <v>3129</v>
      </c>
      <c r="U281" s="7"/>
      <c r="V281" s="3" t="s">
        <v>296</v>
      </c>
      <c r="W281" s="3" t="s">
        <v>3130</v>
      </c>
      <c r="X281" s="3" t="s">
        <v>3131</v>
      </c>
      <c r="Y281" s="3" t="s">
        <v>3132</v>
      </c>
      <c r="Z281" s="8" t="s">
        <v>3133</v>
      </c>
    </row>
    <row r="282" customFormat="false" ht="26.85" hidden="false" customHeight="false" outlineLevel="0" collapsed="false">
      <c r="A282" s="7" t="s">
        <v>3134</v>
      </c>
      <c r="B282" s="7" t="s">
        <v>2886</v>
      </c>
      <c r="C282" s="7"/>
      <c r="D282" s="7" t="n">
        <v>2023</v>
      </c>
      <c r="E282" s="3" t="s">
        <v>3135</v>
      </c>
      <c r="F282" s="7" t="s">
        <v>123</v>
      </c>
      <c r="G282" s="3" t="s">
        <v>124</v>
      </c>
      <c r="H282" s="7" t="s">
        <v>100</v>
      </c>
      <c r="I282" s="7" t="s">
        <v>382</v>
      </c>
      <c r="J282" s="7" t="s">
        <v>383</v>
      </c>
      <c r="K282" s="7" t="s">
        <v>103</v>
      </c>
      <c r="L282" s="3" t="s">
        <v>2339</v>
      </c>
      <c r="M282" s="3" t="s">
        <v>3136</v>
      </c>
      <c r="N282" s="3"/>
      <c r="O282" s="3" t="s">
        <v>3137</v>
      </c>
      <c r="P282" s="3" t="s">
        <v>3115</v>
      </c>
      <c r="Q282" s="7" t="s">
        <v>3116</v>
      </c>
      <c r="R282" s="7" t="n">
        <v>98</v>
      </c>
      <c r="S282" s="3" t="s">
        <v>3138</v>
      </c>
      <c r="T282" s="3" t="s">
        <v>3139</v>
      </c>
      <c r="U282" s="7"/>
      <c r="V282" s="3" t="s">
        <v>123</v>
      </c>
      <c r="W282" s="3" t="s">
        <v>3140</v>
      </c>
      <c r="X282" s="3" t="s">
        <v>3141</v>
      </c>
      <c r="Y282" s="3" t="s">
        <v>3142</v>
      </c>
      <c r="Z282" s="8" t="s">
        <v>3143</v>
      </c>
    </row>
    <row r="283" customFormat="false" ht="26.85" hidden="false" customHeight="false" outlineLevel="0" collapsed="false">
      <c r="A283" s="7" t="s">
        <v>3144</v>
      </c>
      <c r="B283" s="7" t="s">
        <v>3145</v>
      </c>
      <c r="C283" s="7"/>
      <c r="D283" s="7" t="n">
        <v>2023</v>
      </c>
      <c r="E283" s="3" t="s">
        <v>3146</v>
      </c>
      <c r="F283" s="7" t="s">
        <v>85</v>
      </c>
      <c r="G283" s="3" t="s">
        <v>86</v>
      </c>
      <c r="H283" s="7" t="s">
        <v>87</v>
      </c>
      <c r="I283" s="7" t="s">
        <v>478</v>
      </c>
      <c r="J283" s="7" t="s">
        <v>479</v>
      </c>
      <c r="K283" s="7" t="s">
        <v>634</v>
      </c>
      <c r="L283" s="3" t="s">
        <v>635</v>
      </c>
      <c r="M283" s="3" t="s">
        <v>3147</v>
      </c>
      <c r="N283" s="3" t="s">
        <v>3148</v>
      </c>
      <c r="O283" s="3"/>
      <c r="P283" s="3"/>
      <c r="Q283" s="7"/>
      <c r="R283" s="7"/>
      <c r="S283" s="3"/>
      <c r="T283" s="3" t="s">
        <v>3149</v>
      </c>
      <c r="U283" s="7"/>
      <c r="V283" s="3" t="s">
        <v>85</v>
      </c>
      <c r="W283" s="3" t="s">
        <v>3150</v>
      </c>
      <c r="X283" s="3" t="s">
        <v>3151</v>
      </c>
      <c r="Y283" s="3" t="s">
        <v>3152</v>
      </c>
      <c r="Z283" s="8" t="s">
        <v>3153</v>
      </c>
    </row>
    <row r="284" customFormat="false" ht="26.85" hidden="false" customHeight="false" outlineLevel="0" collapsed="false">
      <c r="A284" s="7" t="s">
        <v>3154</v>
      </c>
      <c r="B284" s="7" t="s">
        <v>3145</v>
      </c>
      <c r="C284" s="7"/>
      <c r="D284" s="7" t="n">
        <v>2023</v>
      </c>
      <c r="E284" s="3" t="s">
        <v>3155</v>
      </c>
      <c r="F284" s="7" t="s">
        <v>123</v>
      </c>
      <c r="G284" s="3" t="s">
        <v>124</v>
      </c>
      <c r="H284" s="7" t="s">
        <v>87</v>
      </c>
      <c r="I284" s="7" t="s">
        <v>272</v>
      </c>
      <c r="J284" s="7" t="s">
        <v>273</v>
      </c>
      <c r="K284" s="7" t="s">
        <v>274</v>
      </c>
      <c r="L284" s="3" t="s">
        <v>275</v>
      </c>
      <c r="M284" s="3" t="s">
        <v>3156</v>
      </c>
      <c r="N284" s="3" t="s">
        <v>3157</v>
      </c>
      <c r="O284" s="3"/>
      <c r="P284" s="3" t="s">
        <v>2873</v>
      </c>
      <c r="Q284" s="7" t="s">
        <v>2874</v>
      </c>
      <c r="R284" s="7" t="n">
        <v>215</v>
      </c>
      <c r="S284" s="3" t="s">
        <v>2875</v>
      </c>
      <c r="T284" s="3" t="s">
        <v>3158</v>
      </c>
      <c r="U284" s="7"/>
      <c r="V284" s="3" t="s">
        <v>296</v>
      </c>
      <c r="W284" s="3" t="s">
        <v>3159</v>
      </c>
      <c r="X284" s="3" t="s">
        <v>3160</v>
      </c>
      <c r="Y284" s="3" t="s">
        <v>3161</v>
      </c>
      <c r="Z284" s="8" t="s">
        <v>3162</v>
      </c>
    </row>
    <row r="285" customFormat="false" ht="26.85" hidden="false" customHeight="false" outlineLevel="0" collapsed="false">
      <c r="A285" s="7" t="s">
        <v>3163</v>
      </c>
      <c r="B285" s="7" t="s">
        <v>3164</v>
      </c>
      <c r="C285" s="7"/>
      <c r="D285" s="7" t="n">
        <v>2023</v>
      </c>
      <c r="E285" s="3" t="s">
        <v>3165</v>
      </c>
      <c r="F285" s="7" t="s">
        <v>140</v>
      </c>
      <c r="G285" s="3" t="s">
        <v>141</v>
      </c>
      <c r="H285" s="7" t="s">
        <v>87</v>
      </c>
      <c r="I285" s="7" t="s">
        <v>382</v>
      </c>
      <c r="J285" s="7" t="s">
        <v>383</v>
      </c>
      <c r="K285" s="7" t="s">
        <v>274</v>
      </c>
      <c r="L285" s="3" t="s">
        <v>3166</v>
      </c>
      <c r="M285" s="3" t="s">
        <v>3167</v>
      </c>
      <c r="N285" s="3"/>
      <c r="O285" s="3" t="s">
        <v>3168</v>
      </c>
      <c r="P285" s="3"/>
      <c r="Q285" s="7"/>
      <c r="R285" s="7"/>
      <c r="S285" s="3"/>
      <c r="T285" s="3" t="s">
        <v>3169</v>
      </c>
      <c r="U285" s="7" t="s">
        <v>121</v>
      </c>
      <c r="V285" s="3" t="s">
        <v>140</v>
      </c>
      <c r="W285" s="3" t="s">
        <v>3170</v>
      </c>
      <c r="X285" s="3" t="s">
        <v>3171</v>
      </c>
      <c r="Y285" s="3" t="s">
        <v>3172</v>
      </c>
      <c r="Z285" s="8" t="s">
        <v>3173</v>
      </c>
    </row>
    <row r="286" customFormat="false" ht="26.85" hidden="false" customHeight="false" outlineLevel="0" collapsed="false">
      <c r="A286" s="7" t="s">
        <v>3174</v>
      </c>
      <c r="B286" s="7" t="s">
        <v>3164</v>
      </c>
      <c r="C286" s="7"/>
      <c r="D286" s="7" t="n">
        <v>2023</v>
      </c>
      <c r="E286" s="3" t="s">
        <v>3175</v>
      </c>
      <c r="F286" s="7" t="s">
        <v>140</v>
      </c>
      <c r="G286" s="3" t="s">
        <v>141</v>
      </c>
      <c r="H286" s="7" t="s">
        <v>87</v>
      </c>
      <c r="I286" s="7" t="s">
        <v>382</v>
      </c>
      <c r="J286" s="7" t="s">
        <v>383</v>
      </c>
      <c r="K286" s="7" t="s">
        <v>274</v>
      </c>
      <c r="L286" s="3" t="s">
        <v>1318</v>
      </c>
      <c r="M286" s="3" t="s">
        <v>3176</v>
      </c>
      <c r="N286" s="3" t="s">
        <v>3177</v>
      </c>
      <c r="O286" s="3" t="s">
        <v>3178</v>
      </c>
      <c r="P286" s="3"/>
      <c r="Q286" s="7"/>
      <c r="R286" s="7"/>
      <c r="S286" s="3"/>
      <c r="T286" s="3" t="s">
        <v>3179</v>
      </c>
      <c r="U286" s="7"/>
      <c r="V286" s="3" t="s">
        <v>140</v>
      </c>
      <c r="W286" s="3" t="s">
        <v>3180</v>
      </c>
      <c r="X286" s="3" t="s">
        <v>3181</v>
      </c>
      <c r="Y286" s="3" t="s">
        <v>3182</v>
      </c>
      <c r="Z286" s="8" t="s">
        <v>3183</v>
      </c>
    </row>
    <row r="287" customFormat="false" ht="39.55" hidden="false" customHeight="false" outlineLevel="0" collapsed="false">
      <c r="A287" s="7" t="s">
        <v>3184</v>
      </c>
      <c r="B287" s="7" t="s">
        <v>3164</v>
      </c>
      <c r="C287" s="7"/>
      <c r="D287" s="7" t="n">
        <v>2023</v>
      </c>
      <c r="E287" s="3" t="s">
        <v>3185</v>
      </c>
      <c r="F287" s="7" t="s">
        <v>123</v>
      </c>
      <c r="G287" s="3" t="s">
        <v>124</v>
      </c>
      <c r="H287" s="7" t="s">
        <v>87</v>
      </c>
      <c r="I287" s="7" t="s">
        <v>317</v>
      </c>
      <c r="J287" s="7" t="s">
        <v>318</v>
      </c>
      <c r="K287" s="7" t="s">
        <v>90</v>
      </c>
      <c r="L287" s="3" t="s">
        <v>716</v>
      </c>
      <c r="M287" s="3" t="s">
        <v>3186</v>
      </c>
      <c r="N287" s="3" t="s">
        <v>3187</v>
      </c>
      <c r="O287" s="3" t="s">
        <v>3188</v>
      </c>
      <c r="P287" s="3" t="s">
        <v>3071</v>
      </c>
      <c r="Q287" s="7" t="s">
        <v>2874</v>
      </c>
      <c r="R287" s="7" t="n">
        <v>160</v>
      </c>
      <c r="S287" s="3" t="s">
        <v>3072</v>
      </c>
      <c r="T287" s="3" t="s">
        <v>3189</v>
      </c>
      <c r="U287" s="7"/>
      <c r="V287" s="3" t="s">
        <v>296</v>
      </c>
      <c r="W287" s="3" t="s">
        <v>3190</v>
      </c>
      <c r="X287" s="3" t="s">
        <v>3191</v>
      </c>
      <c r="Y287" s="3" t="s">
        <v>3192</v>
      </c>
      <c r="Z287" s="8" t="s">
        <v>3193</v>
      </c>
    </row>
    <row r="288" customFormat="false" ht="26.85" hidden="false" customHeight="false" outlineLevel="0" collapsed="false">
      <c r="A288" s="7" t="s">
        <v>3194</v>
      </c>
      <c r="B288" s="7" t="s">
        <v>3195</v>
      </c>
      <c r="C288" s="7"/>
      <c r="D288" s="7" t="n">
        <v>2023</v>
      </c>
      <c r="E288" s="3" t="s">
        <v>3196</v>
      </c>
      <c r="F288" s="7" t="s">
        <v>140</v>
      </c>
      <c r="G288" s="3" t="s">
        <v>141</v>
      </c>
      <c r="H288" s="7" t="s">
        <v>87</v>
      </c>
      <c r="I288" s="7" t="s">
        <v>382</v>
      </c>
      <c r="J288" s="7" t="s">
        <v>383</v>
      </c>
      <c r="K288" s="7" t="s">
        <v>274</v>
      </c>
      <c r="L288" s="3" t="s">
        <v>1318</v>
      </c>
      <c r="M288" s="3" t="s">
        <v>3197</v>
      </c>
      <c r="N288" s="3"/>
      <c r="O288" s="3"/>
      <c r="P288" s="3"/>
      <c r="Q288" s="7"/>
      <c r="R288" s="7"/>
      <c r="S288" s="3"/>
      <c r="T288" s="3" t="s">
        <v>3198</v>
      </c>
      <c r="U288" s="7"/>
      <c r="V288" s="3" t="s">
        <v>140</v>
      </c>
      <c r="W288" s="3" t="s">
        <v>3199</v>
      </c>
      <c r="X288" s="3" t="s">
        <v>3200</v>
      </c>
      <c r="Y288" s="3" t="s">
        <v>3201</v>
      </c>
      <c r="Z288" s="8" t="s">
        <v>3202</v>
      </c>
    </row>
    <row r="289" customFormat="false" ht="26.85" hidden="false" customHeight="false" outlineLevel="0" collapsed="false">
      <c r="A289" s="7" t="s">
        <v>3203</v>
      </c>
      <c r="B289" s="7" t="s">
        <v>3195</v>
      </c>
      <c r="C289" s="7"/>
      <c r="D289" s="7" t="n">
        <v>2023</v>
      </c>
      <c r="E289" s="3" t="s">
        <v>3204</v>
      </c>
      <c r="F289" s="7" t="s">
        <v>123</v>
      </c>
      <c r="G289" s="3" t="s">
        <v>124</v>
      </c>
      <c r="H289" s="7" t="s">
        <v>87</v>
      </c>
      <c r="I289" s="7" t="s">
        <v>272</v>
      </c>
      <c r="J289" s="7" t="s">
        <v>273</v>
      </c>
      <c r="K289" s="7" t="s">
        <v>274</v>
      </c>
      <c r="L289" s="3" t="s">
        <v>275</v>
      </c>
      <c r="M289" s="3" t="s">
        <v>3205</v>
      </c>
      <c r="N289" s="3"/>
      <c r="O289" s="3"/>
      <c r="P289" s="3" t="s">
        <v>2873</v>
      </c>
      <c r="Q289" s="7" t="s">
        <v>2874</v>
      </c>
      <c r="R289" s="7" t="n">
        <v>127</v>
      </c>
      <c r="S289" s="3" t="s">
        <v>3206</v>
      </c>
      <c r="T289" s="3" t="s">
        <v>3207</v>
      </c>
      <c r="U289" s="7"/>
      <c r="V289" s="3" t="s">
        <v>296</v>
      </c>
      <c r="W289" s="3" t="s">
        <v>3208</v>
      </c>
      <c r="X289" s="3" t="s">
        <v>3209</v>
      </c>
      <c r="Y289" s="3" t="s">
        <v>3210</v>
      </c>
      <c r="Z289" s="8" t="s">
        <v>3211</v>
      </c>
    </row>
    <row r="290" customFormat="false" ht="26.85" hidden="false" customHeight="false" outlineLevel="0" collapsed="false">
      <c r="A290" s="7" t="s">
        <v>3212</v>
      </c>
      <c r="B290" s="7" t="s">
        <v>3213</v>
      </c>
      <c r="C290" s="7"/>
      <c r="D290" s="7" t="n">
        <v>2023</v>
      </c>
      <c r="E290" s="3" t="s">
        <v>3214</v>
      </c>
      <c r="F290" s="7" t="s">
        <v>140</v>
      </c>
      <c r="G290" s="3" t="s">
        <v>141</v>
      </c>
      <c r="H290" s="7" t="s">
        <v>87</v>
      </c>
      <c r="I290" s="7" t="s">
        <v>382</v>
      </c>
      <c r="J290" s="7" t="s">
        <v>383</v>
      </c>
      <c r="K290" s="7" t="s">
        <v>274</v>
      </c>
      <c r="L290" s="3" t="s">
        <v>1318</v>
      </c>
      <c r="M290" s="3" t="s">
        <v>3215</v>
      </c>
      <c r="N290" s="3" t="s">
        <v>3216</v>
      </c>
      <c r="O290" s="3"/>
      <c r="P290" s="3"/>
      <c r="Q290" s="7"/>
      <c r="R290" s="7"/>
      <c r="S290" s="3"/>
      <c r="T290" s="3" t="s">
        <v>3217</v>
      </c>
      <c r="U290" s="7"/>
      <c r="V290" s="3" t="s">
        <v>140</v>
      </c>
      <c r="W290" s="3" t="s">
        <v>3218</v>
      </c>
      <c r="X290" s="3" t="s">
        <v>3219</v>
      </c>
      <c r="Y290" s="3" t="s">
        <v>3220</v>
      </c>
      <c r="Z290" s="8" t="s">
        <v>3221</v>
      </c>
    </row>
    <row r="291" customFormat="false" ht="26.85" hidden="false" customHeight="false" outlineLevel="0" collapsed="false">
      <c r="A291" s="7" t="s">
        <v>3222</v>
      </c>
      <c r="B291" s="7" t="s">
        <v>3213</v>
      </c>
      <c r="C291" s="7"/>
      <c r="D291" s="7" t="n">
        <v>2023</v>
      </c>
      <c r="E291" s="3" t="s">
        <v>3223</v>
      </c>
      <c r="F291" s="7" t="s">
        <v>123</v>
      </c>
      <c r="G291" s="3" t="s">
        <v>124</v>
      </c>
      <c r="H291" s="7" t="s">
        <v>87</v>
      </c>
      <c r="I291" s="7" t="s">
        <v>317</v>
      </c>
      <c r="J291" s="7" t="s">
        <v>318</v>
      </c>
      <c r="K291" s="7" t="s">
        <v>90</v>
      </c>
      <c r="L291" s="3" t="s">
        <v>716</v>
      </c>
      <c r="M291" s="3" t="s">
        <v>3224</v>
      </c>
      <c r="N291" s="3"/>
      <c r="O291" s="3"/>
      <c r="P291" s="3" t="s">
        <v>3071</v>
      </c>
      <c r="Q291" s="7" t="s">
        <v>2874</v>
      </c>
      <c r="R291" s="7" t="n">
        <v>98</v>
      </c>
      <c r="S291" s="3" t="s">
        <v>3072</v>
      </c>
      <c r="T291" s="3" t="s">
        <v>3225</v>
      </c>
      <c r="U291" s="7"/>
      <c r="V291" s="3" t="s">
        <v>296</v>
      </c>
      <c r="W291" s="3" t="s">
        <v>3226</v>
      </c>
      <c r="X291" s="3" t="s">
        <v>3227</v>
      </c>
      <c r="Y291" s="3" t="s">
        <v>3228</v>
      </c>
      <c r="Z291" s="8" t="s">
        <v>3229</v>
      </c>
    </row>
    <row r="292" customFormat="false" ht="26.85" hidden="false" customHeight="false" outlineLevel="0" collapsed="false">
      <c r="A292" s="7" t="s">
        <v>3230</v>
      </c>
      <c r="B292" s="7" t="s">
        <v>3213</v>
      </c>
      <c r="C292" s="7"/>
      <c r="D292" s="7" t="n">
        <v>2023</v>
      </c>
      <c r="E292" s="3" t="s">
        <v>3231</v>
      </c>
      <c r="F292" s="7" t="s">
        <v>123</v>
      </c>
      <c r="G292" s="3" t="s">
        <v>124</v>
      </c>
      <c r="H292" s="7" t="s">
        <v>87</v>
      </c>
      <c r="I292" s="7" t="s">
        <v>272</v>
      </c>
      <c r="J292" s="7" t="s">
        <v>273</v>
      </c>
      <c r="K292" s="7" t="s">
        <v>274</v>
      </c>
      <c r="L292" s="3" t="s">
        <v>275</v>
      </c>
      <c r="M292" s="3" t="s">
        <v>3232</v>
      </c>
      <c r="N292" s="3" t="s">
        <v>3233</v>
      </c>
      <c r="O292" s="3" t="s">
        <v>3234</v>
      </c>
      <c r="P292" s="3" t="s">
        <v>2873</v>
      </c>
      <c r="Q292" s="7" t="s">
        <v>2874</v>
      </c>
      <c r="R292" s="7" t="n">
        <v>107</v>
      </c>
      <c r="S292" s="3" t="s">
        <v>2875</v>
      </c>
      <c r="T292" s="3" t="s">
        <v>3235</v>
      </c>
      <c r="U292" s="7"/>
      <c r="V292" s="3" t="s">
        <v>296</v>
      </c>
      <c r="W292" s="3" t="s">
        <v>3236</v>
      </c>
      <c r="X292" s="3" t="s">
        <v>3237</v>
      </c>
      <c r="Y292" s="3" t="s">
        <v>3238</v>
      </c>
      <c r="Z292" s="8" t="s">
        <v>3239</v>
      </c>
    </row>
    <row r="293" customFormat="false" ht="26.85" hidden="false" customHeight="false" outlineLevel="0" collapsed="false">
      <c r="A293" s="7" t="s">
        <v>3240</v>
      </c>
      <c r="B293" s="7" t="s">
        <v>3213</v>
      </c>
      <c r="C293" s="7"/>
      <c r="D293" s="7" t="n">
        <v>2023</v>
      </c>
      <c r="E293" s="3" t="s">
        <v>3241</v>
      </c>
      <c r="F293" s="7" t="s">
        <v>123</v>
      </c>
      <c r="G293" s="3" t="s">
        <v>124</v>
      </c>
      <c r="H293" s="7" t="s">
        <v>87</v>
      </c>
      <c r="I293" s="7" t="s">
        <v>1488</v>
      </c>
      <c r="J293" s="7" t="s">
        <v>1489</v>
      </c>
      <c r="K293" s="7" t="s">
        <v>1490</v>
      </c>
      <c r="L293" s="3" t="s">
        <v>3242</v>
      </c>
      <c r="M293" s="3" t="s">
        <v>3243</v>
      </c>
      <c r="N293" s="3"/>
      <c r="O293" s="3" t="s">
        <v>3244</v>
      </c>
      <c r="P293" s="3" t="s">
        <v>3245</v>
      </c>
      <c r="Q293" s="7" t="s">
        <v>2874</v>
      </c>
      <c r="R293" s="7" t="n">
        <v>120</v>
      </c>
      <c r="S293" s="3" t="s">
        <v>3246</v>
      </c>
      <c r="T293" s="3" t="s">
        <v>3247</v>
      </c>
      <c r="U293" s="7"/>
      <c r="V293" s="3" t="s">
        <v>296</v>
      </c>
      <c r="W293" s="3" t="s">
        <v>3248</v>
      </c>
      <c r="X293" s="3" t="s">
        <v>3249</v>
      </c>
      <c r="Y293" s="3" t="s">
        <v>3250</v>
      </c>
      <c r="Z293" s="8" t="s">
        <v>3251</v>
      </c>
    </row>
    <row r="294" customFormat="false" ht="26.85" hidden="false" customHeight="false" outlineLevel="0" collapsed="false">
      <c r="A294" s="7" t="s">
        <v>3252</v>
      </c>
      <c r="B294" s="7" t="s">
        <v>3213</v>
      </c>
      <c r="C294" s="7"/>
      <c r="D294" s="7" t="n">
        <v>2023</v>
      </c>
      <c r="E294" s="3" t="s">
        <v>3253</v>
      </c>
      <c r="F294" s="7" t="s">
        <v>140</v>
      </c>
      <c r="G294" s="3" t="s">
        <v>141</v>
      </c>
      <c r="H294" s="7" t="s">
        <v>87</v>
      </c>
      <c r="I294" s="7" t="s">
        <v>666</v>
      </c>
      <c r="J294" s="7" t="s">
        <v>667</v>
      </c>
      <c r="K294" s="7" t="s">
        <v>90</v>
      </c>
      <c r="L294" s="3" t="s">
        <v>1885</v>
      </c>
      <c r="M294" s="3" t="s">
        <v>3254</v>
      </c>
      <c r="N294" s="3" t="s">
        <v>3255</v>
      </c>
      <c r="O294" s="3"/>
      <c r="P294" s="3"/>
      <c r="Q294" s="7"/>
      <c r="R294" s="7"/>
      <c r="S294" s="3"/>
      <c r="T294" s="3" t="s">
        <v>3256</v>
      </c>
      <c r="U294" s="7"/>
      <c r="V294" s="3" t="s">
        <v>140</v>
      </c>
      <c r="W294" s="3" t="s">
        <v>3257</v>
      </c>
      <c r="X294" s="3" t="s">
        <v>3258</v>
      </c>
      <c r="Y294" s="3" t="s">
        <v>3259</v>
      </c>
      <c r="Z294" s="8" t="s">
        <v>3260</v>
      </c>
    </row>
    <row r="295" customFormat="false" ht="26.85" hidden="false" customHeight="false" outlineLevel="0" collapsed="false">
      <c r="A295" s="7" t="s">
        <v>3261</v>
      </c>
      <c r="B295" s="7" t="s">
        <v>3262</v>
      </c>
      <c r="C295" s="7"/>
      <c r="D295" s="7" t="n">
        <v>2023</v>
      </c>
      <c r="E295" s="3" t="s">
        <v>3263</v>
      </c>
      <c r="F295" s="7" t="s">
        <v>140</v>
      </c>
      <c r="G295" s="3" t="s">
        <v>141</v>
      </c>
      <c r="H295" s="7" t="s">
        <v>100</v>
      </c>
      <c r="I295" s="7" t="s">
        <v>101</v>
      </c>
      <c r="J295" s="7" t="s">
        <v>102</v>
      </c>
      <c r="K295" s="7" t="s">
        <v>103</v>
      </c>
      <c r="L295" s="3" t="s">
        <v>1535</v>
      </c>
      <c r="M295" s="3" t="s">
        <v>3264</v>
      </c>
      <c r="N295" s="3" t="s">
        <v>3265</v>
      </c>
      <c r="O295" s="3" t="s">
        <v>3266</v>
      </c>
      <c r="P295" s="3"/>
      <c r="Q295" s="7"/>
      <c r="R295" s="7"/>
      <c r="S295" s="3"/>
      <c r="T295" s="3" t="s">
        <v>3267</v>
      </c>
      <c r="U295" s="7"/>
      <c r="V295" s="3" t="s">
        <v>140</v>
      </c>
      <c r="W295" s="3" t="s">
        <v>3268</v>
      </c>
      <c r="X295" s="3" t="s">
        <v>3269</v>
      </c>
      <c r="Y295" s="3" t="s">
        <v>3270</v>
      </c>
      <c r="Z295" s="8" t="s">
        <v>3271</v>
      </c>
    </row>
    <row r="296" customFormat="false" ht="26.85" hidden="false" customHeight="false" outlineLevel="0" collapsed="false">
      <c r="A296" s="7" t="s">
        <v>3272</v>
      </c>
      <c r="B296" s="7" t="s">
        <v>3262</v>
      </c>
      <c r="C296" s="7"/>
      <c r="D296" s="7" t="n">
        <v>2023</v>
      </c>
      <c r="E296" s="3" t="s">
        <v>3273</v>
      </c>
      <c r="F296" s="7" t="s">
        <v>123</v>
      </c>
      <c r="G296" s="3" t="s">
        <v>124</v>
      </c>
      <c r="H296" s="7" t="s">
        <v>100</v>
      </c>
      <c r="I296" s="7" t="s">
        <v>101</v>
      </c>
      <c r="J296" s="7" t="s">
        <v>102</v>
      </c>
      <c r="K296" s="7" t="s">
        <v>103</v>
      </c>
      <c r="L296" s="3" t="s">
        <v>3274</v>
      </c>
      <c r="M296" s="3" t="s">
        <v>3275</v>
      </c>
      <c r="N296" s="3"/>
      <c r="O296" s="3"/>
      <c r="P296" s="3" t="s">
        <v>3276</v>
      </c>
      <c r="Q296" s="7" t="s">
        <v>2874</v>
      </c>
      <c r="R296" s="7" t="n">
        <v>48</v>
      </c>
      <c r="S296" s="3" t="s">
        <v>3277</v>
      </c>
      <c r="T296" s="3" t="s">
        <v>3278</v>
      </c>
      <c r="U296" s="7"/>
      <c r="V296" s="3" t="s">
        <v>123</v>
      </c>
      <c r="W296" s="3" t="s">
        <v>3279</v>
      </c>
      <c r="X296" s="3" t="s">
        <v>3280</v>
      </c>
      <c r="Y296" s="3" t="s">
        <v>3281</v>
      </c>
      <c r="Z296" s="8" t="s">
        <v>3282</v>
      </c>
    </row>
    <row r="297" customFormat="false" ht="26.85" hidden="false" customHeight="false" outlineLevel="0" collapsed="false">
      <c r="A297" s="7" t="s">
        <v>3283</v>
      </c>
      <c r="B297" s="7" t="s">
        <v>3262</v>
      </c>
      <c r="C297" s="7"/>
      <c r="D297" s="7" t="n">
        <v>2023</v>
      </c>
      <c r="E297" s="3" t="s">
        <v>3284</v>
      </c>
      <c r="F297" s="7" t="s">
        <v>140</v>
      </c>
      <c r="G297" s="3" t="s">
        <v>141</v>
      </c>
      <c r="H297" s="7" t="s">
        <v>87</v>
      </c>
      <c r="I297" s="7" t="s">
        <v>331</v>
      </c>
      <c r="J297" s="7" t="s">
        <v>332</v>
      </c>
      <c r="K297" s="7" t="s">
        <v>680</v>
      </c>
      <c r="L297" s="3" t="s">
        <v>2741</v>
      </c>
      <c r="M297" s="3" t="s">
        <v>3285</v>
      </c>
      <c r="N297" s="3" t="s">
        <v>3286</v>
      </c>
      <c r="O297" s="3" t="s">
        <v>3287</v>
      </c>
      <c r="P297" s="3"/>
      <c r="Q297" s="7"/>
      <c r="R297" s="7"/>
      <c r="S297" s="3"/>
      <c r="T297" s="3" t="s">
        <v>3288</v>
      </c>
      <c r="U297" s="7"/>
      <c r="V297" s="3" t="s">
        <v>140</v>
      </c>
      <c r="W297" s="3" t="s">
        <v>3289</v>
      </c>
      <c r="X297" s="3" t="s">
        <v>3290</v>
      </c>
      <c r="Y297" s="3" t="s">
        <v>3291</v>
      </c>
      <c r="Z297" s="8" t="s">
        <v>3292</v>
      </c>
    </row>
    <row r="298" customFormat="false" ht="26.85" hidden="false" customHeight="false" outlineLevel="0" collapsed="false">
      <c r="A298" s="7" t="s">
        <v>3293</v>
      </c>
      <c r="B298" s="7" t="s">
        <v>3294</v>
      </c>
      <c r="C298" s="7"/>
      <c r="D298" s="7" t="n">
        <v>2023</v>
      </c>
      <c r="E298" s="3" t="s">
        <v>3295</v>
      </c>
      <c r="F298" s="7" t="s">
        <v>123</v>
      </c>
      <c r="G298" s="3" t="s">
        <v>124</v>
      </c>
      <c r="H298" s="7" t="s">
        <v>100</v>
      </c>
      <c r="I298" s="7" t="s">
        <v>101</v>
      </c>
      <c r="J298" s="7" t="s">
        <v>102</v>
      </c>
      <c r="K298" s="7" t="s">
        <v>103</v>
      </c>
      <c r="L298" s="3" t="s">
        <v>3296</v>
      </c>
      <c r="M298" s="3" t="s">
        <v>3297</v>
      </c>
      <c r="N298" s="3"/>
      <c r="O298" s="3" t="s">
        <v>3298</v>
      </c>
      <c r="P298" s="3" t="s">
        <v>3276</v>
      </c>
      <c r="Q298" s="7" t="s">
        <v>2874</v>
      </c>
      <c r="R298" s="7" t="n">
        <v>34</v>
      </c>
      <c r="S298" s="3" t="s">
        <v>3299</v>
      </c>
      <c r="T298" s="3" t="s">
        <v>3300</v>
      </c>
      <c r="U298" s="7"/>
      <c r="V298" s="3" t="s">
        <v>296</v>
      </c>
      <c r="W298" s="3" t="s">
        <v>3301</v>
      </c>
      <c r="X298" s="3" t="s">
        <v>3302</v>
      </c>
      <c r="Y298" s="3" t="s">
        <v>3303</v>
      </c>
      <c r="Z298" s="8" t="s">
        <v>3304</v>
      </c>
    </row>
    <row r="299" customFormat="false" ht="39.55" hidden="false" customHeight="false" outlineLevel="0" collapsed="false">
      <c r="A299" s="7" t="s">
        <v>3305</v>
      </c>
      <c r="B299" s="7" t="s">
        <v>3294</v>
      </c>
      <c r="C299" s="7"/>
      <c r="D299" s="7" t="n">
        <v>2023</v>
      </c>
      <c r="E299" s="3" t="s">
        <v>3306</v>
      </c>
      <c r="F299" s="7" t="s">
        <v>123</v>
      </c>
      <c r="G299" s="3" t="s">
        <v>124</v>
      </c>
      <c r="H299" s="7" t="s">
        <v>87</v>
      </c>
      <c r="I299" s="7" t="s">
        <v>502</v>
      </c>
      <c r="J299" s="7" t="s">
        <v>503</v>
      </c>
      <c r="K299" s="7" t="s">
        <v>2399</v>
      </c>
      <c r="L299" s="3" t="s">
        <v>1535</v>
      </c>
      <c r="M299" s="3" t="s">
        <v>3307</v>
      </c>
      <c r="N299" s="3" t="s">
        <v>3308</v>
      </c>
      <c r="O299" s="3" t="s">
        <v>3309</v>
      </c>
      <c r="P299" s="3" t="s">
        <v>3310</v>
      </c>
      <c r="Q299" s="7" t="s">
        <v>3311</v>
      </c>
      <c r="R299" s="7"/>
      <c r="S299" s="3" t="s">
        <v>3312</v>
      </c>
      <c r="T299" s="3" t="s">
        <v>3313</v>
      </c>
      <c r="U299" s="7"/>
      <c r="V299" s="3" t="s">
        <v>296</v>
      </c>
      <c r="W299" s="3" t="s">
        <v>3314</v>
      </c>
      <c r="X299" s="3" t="s">
        <v>3315</v>
      </c>
      <c r="Y299" s="3" t="s">
        <v>3316</v>
      </c>
      <c r="Z299" s="8" t="s">
        <v>3317</v>
      </c>
    </row>
    <row r="300" customFormat="false" ht="26.85" hidden="false" customHeight="false" outlineLevel="0" collapsed="false">
      <c r="A300" s="7" t="s">
        <v>3318</v>
      </c>
      <c r="B300" s="7" t="s">
        <v>3294</v>
      </c>
      <c r="C300" s="7"/>
      <c r="D300" s="7" t="n">
        <v>2023</v>
      </c>
      <c r="E300" s="3" t="s">
        <v>3319</v>
      </c>
      <c r="F300" s="7" t="s">
        <v>140</v>
      </c>
      <c r="G300" s="3" t="s">
        <v>141</v>
      </c>
      <c r="H300" s="7" t="s">
        <v>87</v>
      </c>
      <c r="I300" s="7" t="s">
        <v>2954</v>
      </c>
      <c r="J300" s="7" t="s">
        <v>2955</v>
      </c>
      <c r="K300" s="7" t="s">
        <v>2956</v>
      </c>
      <c r="L300" s="3" t="s">
        <v>3320</v>
      </c>
      <c r="M300" s="3" t="s">
        <v>3321</v>
      </c>
      <c r="N300" s="3" t="s">
        <v>3322</v>
      </c>
      <c r="O300" s="3" t="s">
        <v>3323</v>
      </c>
      <c r="P300" s="3"/>
      <c r="Q300" s="7"/>
      <c r="R300" s="7"/>
      <c r="S300" s="3"/>
      <c r="T300" s="3" t="s">
        <v>3324</v>
      </c>
      <c r="U300" s="7"/>
      <c r="V300" s="3" t="s">
        <v>140</v>
      </c>
      <c r="W300" s="3" t="s">
        <v>3325</v>
      </c>
      <c r="X300" s="3" t="s">
        <v>3326</v>
      </c>
      <c r="Y300" s="3" t="s">
        <v>3327</v>
      </c>
      <c r="Z300" s="8" t="s">
        <v>3328</v>
      </c>
    </row>
    <row r="301" customFormat="false" ht="26.85" hidden="false" customHeight="false" outlineLevel="0" collapsed="false">
      <c r="A301" s="7" t="s">
        <v>3329</v>
      </c>
      <c r="B301" s="7" t="s">
        <v>3294</v>
      </c>
      <c r="C301" s="7"/>
      <c r="D301" s="7" t="n">
        <v>2023</v>
      </c>
      <c r="E301" s="3" t="s">
        <v>3330</v>
      </c>
      <c r="F301" s="7" t="s">
        <v>85</v>
      </c>
      <c r="G301" s="3" t="s">
        <v>86</v>
      </c>
      <c r="H301" s="7" t="s">
        <v>100</v>
      </c>
      <c r="I301" s="7" t="s">
        <v>1114</v>
      </c>
      <c r="J301" s="7" t="s">
        <v>1115</v>
      </c>
      <c r="K301" s="7" t="s">
        <v>103</v>
      </c>
      <c r="L301" s="3" t="s">
        <v>3331</v>
      </c>
      <c r="M301" s="3" t="s">
        <v>3332</v>
      </c>
      <c r="N301" s="3"/>
      <c r="O301" s="3"/>
      <c r="P301" s="3"/>
      <c r="Q301" s="7"/>
      <c r="R301" s="7"/>
      <c r="S301" s="3"/>
      <c r="T301" s="3" t="s">
        <v>3333</v>
      </c>
      <c r="U301" s="7"/>
      <c r="V301" s="3" t="s">
        <v>85</v>
      </c>
      <c r="W301" s="3" t="s">
        <v>3334</v>
      </c>
      <c r="X301" s="3" t="s">
        <v>3335</v>
      </c>
      <c r="Y301" s="3" t="s">
        <v>3336</v>
      </c>
      <c r="Z301" s="8" t="s">
        <v>3337</v>
      </c>
    </row>
    <row r="302" customFormat="false" ht="52.2" hidden="false" customHeight="false" outlineLevel="0" collapsed="false">
      <c r="A302" s="7" t="s">
        <v>3338</v>
      </c>
      <c r="B302" s="7" t="s">
        <v>2874</v>
      </c>
      <c r="C302" s="7"/>
      <c r="D302" s="7" t="n">
        <v>2023</v>
      </c>
      <c r="E302" s="3" t="s">
        <v>3339</v>
      </c>
      <c r="F302" s="7" t="s">
        <v>140</v>
      </c>
      <c r="G302" s="3" t="s">
        <v>141</v>
      </c>
      <c r="H302" s="7" t="s">
        <v>87</v>
      </c>
      <c r="I302" s="7" t="s">
        <v>781</v>
      </c>
      <c r="J302" s="7" t="s">
        <v>782</v>
      </c>
      <c r="K302" s="7" t="s">
        <v>90</v>
      </c>
      <c r="L302" s="3" t="s">
        <v>3340</v>
      </c>
      <c r="M302" s="3" t="s">
        <v>3341</v>
      </c>
      <c r="N302" s="3"/>
      <c r="O302" s="3"/>
      <c r="P302" s="3"/>
      <c r="Q302" s="7"/>
      <c r="R302" s="7"/>
      <c r="S302" s="3"/>
      <c r="T302" s="3" t="s">
        <v>3342</v>
      </c>
      <c r="U302" s="7"/>
      <c r="V302" s="3" t="s">
        <v>296</v>
      </c>
      <c r="W302" s="3" t="s">
        <v>3343</v>
      </c>
      <c r="X302" s="3" t="s">
        <v>3344</v>
      </c>
      <c r="Y302" s="3" t="s">
        <v>3345</v>
      </c>
      <c r="Z302" s="8" t="s">
        <v>3346</v>
      </c>
    </row>
    <row r="303" customFormat="false" ht="39.55" hidden="false" customHeight="false" outlineLevel="0" collapsed="false">
      <c r="A303" s="7" t="s">
        <v>3347</v>
      </c>
      <c r="B303" s="7" t="s">
        <v>2874</v>
      </c>
      <c r="C303" s="7"/>
      <c r="D303" s="7" t="n">
        <v>2023</v>
      </c>
      <c r="E303" s="3" t="s">
        <v>3348</v>
      </c>
      <c r="F303" s="7" t="s">
        <v>123</v>
      </c>
      <c r="G303" s="3" t="s">
        <v>124</v>
      </c>
      <c r="H303" s="7" t="s">
        <v>100</v>
      </c>
      <c r="I303" s="7" t="s">
        <v>101</v>
      </c>
      <c r="J303" s="7" t="s">
        <v>102</v>
      </c>
      <c r="K303" s="7" t="s">
        <v>103</v>
      </c>
      <c r="L303" s="3" t="s">
        <v>1535</v>
      </c>
      <c r="M303" s="3" t="s">
        <v>3349</v>
      </c>
      <c r="N303" s="3" t="s">
        <v>3350</v>
      </c>
      <c r="O303" s="3" t="s">
        <v>3351</v>
      </c>
      <c r="P303" s="3" t="s">
        <v>3352</v>
      </c>
      <c r="Q303" s="7" t="s">
        <v>2874</v>
      </c>
      <c r="R303" s="7" t="n">
        <v>3</v>
      </c>
      <c r="S303" s="3" t="s">
        <v>3353</v>
      </c>
      <c r="T303" s="3" t="s">
        <v>3354</v>
      </c>
      <c r="U303" s="7"/>
      <c r="V303" s="3" t="s">
        <v>296</v>
      </c>
      <c r="W303" s="3" t="s">
        <v>3355</v>
      </c>
      <c r="X303" s="3" t="s">
        <v>3356</v>
      </c>
      <c r="Y303" s="3" t="s">
        <v>3357</v>
      </c>
      <c r="Z303" s="8" t="s">
        <v>3358</v>
      </c>
    </row>
    <row r="304" customFormat="false" ht="26.85" hidden="false" customHeight="false" outlineLevel="0" collapsed="false">
      <c r="A304" s="7" t="s">
        <v>3359</v>
      </c>
      <c r="B304" s="7" t="s">
        <v>2874</v>
      </c>
      <c r="C304" s="7"/>
      <c r="D304" s="7" t="n">
        <v>2023</v>
      </c>
      <c r="E304" s="3" t="s">
        <v>3360</v>
      </c>
      <c r="F304" s="7" t="s">
        <v>123</v>
      </c>
      <c r="G304" s="3" t="s">
        <v>124</v>
      </c>
      <c r="H304" s="7" t="s">
        <v>87</v>
      </c>
      <c r="I304" s="7" t="s">
        <v>1488</v>
      </c>
      <c r="J304" s="7" t="s">
        <v>1489</v>
      </c>
      <c r="K304" s="7" t="s">
        <v>1490</v>
      </c>
      <c r="L304" s="3" t="s">
        <v>3242</v>
      </c>
      <c r="M304" s="3" t="s">
        <v>3361</v>
      </c>
      <c r="N304" s="3"/>
      <c r="O304" s="3"/>
      <c r="P304" s="3" t="s">
        <v>3245</v>
      </c>
      <c r="Q304" s="7" t="s">
        <v>2874</v>
      </c>
      <c r="R304" s="7" t="n">
        <v>3</v>
      </c>
      <c r="S304" s="3" t="s">
        <v>3362</v>
      </c>
      <c r="T304" s="3" t="s">
        <v>3363</v>
      </c>
      <c r="U304" s="7"/>
      <c r="V304" s="3" t="s">
        <v>296</v>
      </c>
      <c r="W304" s="3" t="s">
        <v>3364</v>
      </c>
      <c r="X304" s="3" t="s">
        <v>3365</v>
      </c>
      <c r="Y304" s="3" t="s">
        <v>3366</v>
      </c>
      <c r="Z304" s="8" t="s">
        <v>3367</v>
      </c>
    </row>
    <row r="305" customFormat="false" ht="26.85" hidden="false" customHeight="false" outlineLevel="0" collapsed="false">
      <c r="A305" s="7" t="s">
        <v>3368</v>
      </c>
      <c r="B305" s="7" t="s">
        <v>3369</v>
      </c>
      <c r="C305" s="7"/>
      <c r="D305" s="7" t="n">
        <v>2023</v>
      </c>
      <c r="E305" s="3" t="s">
        <v>3370</v>
      </c>
      <c r="F305" s="7" t="s">
        <v>140</v>
      </c>
      <c r="G305" s="3" t="s">
        <v>141</v>
      </c>
      <c r="H305" s="7" t="s">
        <v>87</v>
      </c>
      <c r="I305" s="7" t="s">
        <v>1488</v>
      </c>
      <c r="J305" s="7" t="s">
        <v>1489</v>
      </c>
      <c r="K305" s="7" t="s">
        <v>274</v>
      </c>
      <c r="L305" s="3" t="s">
        <v>3371</v>
      </c>
      <c r="M305" s="3" t="s">
        <v>3372</v>
      </c>
      <c r="N305" s="3" t="s">
        <v>3373</v>
      </c>
      <c r="O305" s="3" t="s">
        <v>3374</v>
      </c>
      <c r="P305" s="3"/>
      <c r="Q305" s="7"/>
      <c r="R305" s="7"/>
      <c r="S305" s="3"/>
      <c r="T305" s="3" t="s">
        <v>3375</v>
      </c>
      <c r="U305" s="7"/>
      <c r="V305" s="3" t="s">
        <v>140</v>
      </c>
      <c r="W305" s="3" t="s">
        <v>3376</v>
      </c>
      <c r="X305" s="3" t="s">
        <v>3377</v>
      </c>
      <c r="Y305" s="3" t="s">
        <v>3378</v>
      </c>
      <c r="Z305" s="8" t="s">
        <v>3379</v>
      </c>
    </row>
    <row r="306" customFormat="false" ht="26.85" hidden="false" customHeight="false" outlineLevel="0" collapsed="false">
      <c r="A306" s="7" t="s">
        <v>3380</v>
      </c>
      <c r="B306" s="7" t="s">
        <v>3369</v>
      </c>
      <c r="C306" s="7"/>
      <c r="D306" s="7" t="n">
        <v>2023</v>
      </c>
      <c r="E306" s="3" t="s">
        <v>3381</v>
      </c>
      <c r="F306" s="7" t="s">
        <v>140</v>
      </c>
      <c r="G306" s="3" t="s">
        <v>141</v>
      </c>
      <c r="H306" s="7" t="s">
        <v>87</v>
      </c>
      <c r="I306" s="7" t="s">
        <v>1488</v>
      </c>
      <c r="J306" s="7" t="s">
        <v>1489</v>
      </c>
      <c r="K306" s="7" t="s">
        <v>274</v>
      </c>
      <c r="L306" s="3" t="s">
        <v>3382</v>
      </c>
      <c r="M306" s="3" t="s">
        <v>3383</v>
      </c>
      <c r="N306" s="3"/>
      <c r="O306" s="3" t="s">
        <v>3384</v>
      </c>
      <c r="P306" s="3"/>
      <c r="Q306" s="7"/>
      <c r="R306" s="7"/>
      <c r="S306" s="3"/>
      <c r="T306" s="3" t="s">
        <v>3385</v>
      </c>
      <c r="U306" s="7" t="s">
        <v>121</v>
      </c>
      <c r="V306" s="3" t="s">
        <v>296</v>
      </c>
      <c r="W306" s="3" t="s">
        <v>3386</v>
      </c>
      <c r="X306" s="3" t="s">
        <v>3387</v>
      </c>
      <c r="Y306" s="3" t="s">
        <v>3388</v>
      </c>
      <c r="Z306" s="8" t="s">
        <v>3389</v>
      </c>
    </row>
    <row r="307" customFormat="false" ht="26.85" hidden="false" customHeight="false" outlineLevel="0" collapsed="false">
      <c r="A307" s="7" t="s">
        <v>3390</v>
      </c>
      <c r="B307" s="7" t="s">
        <v>3369</v>
      </c>
      <c r="C307" s="7"/>
      <c r="D307" s="7" t="n">
        <v>2023</v>
      </c>
      <c r="E307" s="3" t="s">
        <v>3391</v>
      </c>
      <c r="F307" s="7" t="s">
        <v>85</v>
      </c>
      <c r="G307" s="3" t="s">
        <v>86</v>
      </c>
      <c r="H307" s="7" t="s">
        <v>87</v>
      </c>
      <c r="I307" s="7" t="s">
        <v>331</v>
      </c>
      <c r="J307" s="7" t="s">
        <v>332</v>
      </c>
      <c r="K307" s="7" t="s">
        <v>680</v>
      </c>
      <c r="L307" s="3" t="s">
        <v>2741</v>
      </c>
      <c r="M307" s="3" t="s">
        <v>3392</v>
      </c>
      <c r="N307" s="3" t="s">
        <v>3393</v>
      </c>
      <c r="O307" s="3" t="s">
        <v>3394</v>
      </c>
      <c r="P307" s="3"/>
      <c r="Q307" s="7"/>
      <c r="R307" s="7"/>
      <c r="S307" s="3"/>
      <c r="T307" s="3" t="s">
        <v>3395</v>
      </c>
      <c r="U307" s="7"/>
      <c r="V307" s="3" t="s">
        <v>85</v>
      </c>
      <c r="W307" s="3" t="s">
        <v>3396</v>
      </c>
      <c r="X307" s="3" t="s">
        <v>3397</v>
      </c>
      <c r="Y307" s="3" t="s">
        <v>3398</v>
      </c>
      <c r="Z307" s="8" t="s">
        <v>3399</v>
      </c>
    </row>
    <row r="308" customFormat="false" ht="26.85" hidden="false" customHeight="false" outlineLevel="0" collapsed="false">
      <c r="A308" s="7" t="s">
        <v>3400</v>
      </c>
      <c r="B308" s="7" t="s">
        <v>3401</v>
      </c>
      <c r="C308" s="7"/>
      <c r="D308" s="7" t="n">
        <v>2024</v>
      </c>
      <c r="E308" s="3" t="s">
        <v>3402</v>
      </c>
      <c r="F308" s="7" t="s">
        <v>140</v>
      </c>
      <c r="G308" s="3" t="s">
        <v>141</v>
      </c>
      <c r="H308" s="7" t="s">
        <v>87</v>
      </c>
      <c r="I308" s="7" t="s">
        <v>88</v>
      </c>
      <c r="J308" s="7" t="s">
        <v>89</v>
      </c>
      <c r="K308" s="7" t="s">
        <v>90</v>
      </c>
      <c r="L308" s="3" t="s">
        <v>3002</v>
      </c>
      <c r="M308" s="3" t="s">
        <v>3403</v>
      </c>
      <c r="N308" s="3" t="s">
        <v>3404</v>
      </c>
      <c r="O308" s="3" t="s">
        <v>3405</v>
      </c>
      <c r="P308" s="3"/>
      <c r="Q308" s="7"/>
      <c r="R308" s="7"/>
      <c r="S308" s="3"/>
      <c r="T308" s="3" t="s">
        <v>3406</v>
      </c>
      <c r="U308" s="7"/>
      <c r="V308" s="3" t="s">
        <v>140</v>
      </c>
      <c r="W308" s="3" t="s">
        <v>3407</v>
      </c>
      <c r="X308" s="3" t="s">
        <v>3408</v>
      </c>
      <c r="Y308" s="3" t="s">
        <v>3409</v>
      </c>
      <c r="Z308" s="8" t="s">
        <v>3410</v>
      </c>
    </row>
    <row r="309" customFormat="false" ht="26.85" hidden="false" customHeight="false" outlineLevel="0" collapsed="false">
      <c r="A309" s="7" t="s">
        <v>3411</v>
      </c>
      <c r="B309" s="7" t="s">
        <v>3412</v>
      </c>
      <c r="C309" s="7"/>
      <c r="D309" s="7" t="n">
        <v>2024</v>
      </c>
      <c r="E309" s="3" t="s">
        <v>3413</v>
      </c>
      <c r="F309" s="7" t="s">
        <v>123</v>
      </c>
      <c r="G309" s="3" t="s">
        <v>124</v>
      </c>
      <c r="H309" s="7" t="s">
        <v>87</v>
      </c>
      <c r="I309" s="7" t="s">
        <v>225</v>
      </c>
      <c r="J309" s="7" t="s">
        <v>226</v>
      </c>
      <c r="K309" s="7" t="s">
        <v>2121</v>
      </c>
      <c r="L309" s="3" t="s">
        <v>3414</v>
      </c>
      <c r="M309" s="3" t="s">
        <v>3415</v>
      </c>
      <c r="N309" s="3"/>
      <c r="O309" s="3" t="s">
        <v>3416</v>
      </c>
      <c r="P309" s="3" t="s">
        <v>3417</v>
      </c>
      <c r="Q309" s="7" t="s">
        <v>3418</v>
      </c>
      <c r="R309" s="7" t="n">
        <v>111</v>
      </c>
      <c r="S309" s="3" t="s">
        <v>3419</v>
      </c>
      <c r="T309" s="3" t="s">
        <v>3420</v>
      </c>
      <c r="U309" s="7"/>
      <c r="V309" s="3" t="s">
        <v>296</v>
      </c>
      <c r="W309" s="3" t="s">
        <v>3421</v>
      </c>
      <c r="X309" s="3" t="s">
        <v>3422</v>
      </c>
      <c r="Y309" s="3" t="s">
        <v>3423</v>
      </c>
      <c r="Z309" s="8" t="s">
        <v>3424</v>
      </c>
    </row>
    <row r="310" customFormat="false" ht="39.55" hidden="false" customHeight="false" outlineLevel="0" collapsed="false">
      <c r="A310" s="7" t="s">
        <v>3425</v>
      </c>
      <c r="B310" s="7" t="s">
        <v>3412</v>
      </c>
      <c r="C310" s="7"/>
      <c r="D310" s="7" t="n">
        <v>2024</v>
      </c>
      <c r="E310" s="3" t="s">
        <v>3426</v>
      </c>
      <c r="F310" s="7" t="s">
        <v>123</v>
      </c>
      <c r="G310" s="3" t="s">
        <v>124</v>
      </c>
      <c r="H310" s="7" t="s">
        <v>87</v>
      </c>
      <c r="I310" s="7" t="s">
        <v>478</v>
      </c>
      <c r="J310" s="7" t="s">
        <v>479</v>
      </c>
      <c r="K310" s="7" t="s">
        <v>634</v>
      </c>
      <c r="L310" s="3" t="s">
        <v>3427</v>
      </c>
      <c r="M310" s="3" t="s">
        <v>3428</v>
      </c>
      <c r="N310" s="3" t="s">
        <v>3429</v>
      </c>
      <c r="O310" s="3"/>
      <c r="P310" s="3" t="s">
        <v>3430</v>
      </c>
      <c r="Q310" s="7" t="s">
        <v>3431</v>
      </c>
      <c r="R310" s="7" t="n">
        <v>94</v>
      </c>
      <c r="S310" s="3" t="s">
        <v>3432</v>
      </c>
      <c r="T310" s="3" t="s">
        <v>3433</v>
      </c>
      <c r="U310" s="7"/>
      <c r="V310" s="3" t="s">
        <v>296</v>
      </c>
      <c r="W310" s="3" t="s">
        <v>3434</v>
      </c>
      <c r="X310" s="3" t="s">
        <v>3435</v>
      </c>
      <c r="Y310" s="3" t="s">
        <v>3436</v>
      </c>
      <c r="Z310" s="8" t="s">
        <v>3437</v>
      </c>
    </row>
    <row r="311" customFormat="false" ht="26.85" hidden="false" customHeight="false" outlineLevel="0" collapsed="false">
      <c r="A311" s="7" t="s">
        <v>3438</v>
      </c>
      <c r="B311" s="7" t="s">
        <v>3412</v>
      </c>
      <c r="C311" s="7"/>
      <c r="D311" s="7" t="n">
        <v>2024</v>
      </c>
      <c r="E311" s="3" t="s">
        <v>3439</v>
      </c>
      <c r="F311" s="7" t="s">
        <v>123</v>
      </c>
      <c r="G311" s="3" t="s">
        <v>124</v>
      </c>
      <c r="H311" s="7" t="s">
        <v>87</v>
      </c>
      <c r="I311" s="7" t="s">
        <v>290</v>
      </c>
      <c r="J311" s="7" t="s">
        <v>291</v>
      </c>
      <c r="K311" s="7" t="s">
        <v>90</v>
      </c>
      <c r="L311" s="3" t="s">
        <v>1593</v>
      </c>
      <c r="M311" s="3" t="s">
        <v>3440</v>
      </c>
      <c r="N311" s="3" t="s">
        <v>3441</v>
      </c>
      <c r="O311" s="3" t="s">
        <v>3442</v>
      </c>
      <c r="P311" s="3" t="s">
        <v>3443</v>
      </c>
      <c r="Q311" s="7" t="s">
        <v>3444</v>
      </c>
      <c r="R311" s="7" t="n">
        <v>278</v>
      </c>
      <c r="S311" s="3" t="s">
        <v>3445</v>
      </c>
      <c r="T311" s="3" t="s">
        <v>3446</v>
      </c>
      <c r="U311" s="7"/>
      <c r="V311" s="3" t="s">
        <v>296</v>
      </c>
      <c r="W311" s="3" t="s">
        <v>3447</v>
      </c>
      <c r="X311" s="3" t="s">
        <v>3448</v>
      </c>
      <c r="Y311" s="3" t="s">
        <v>3449</v>
      </c>
      <c r="Z311" s="8" t="s">
        <v>3450</v>
      </c>
    </row>
    <row r="312" customFormat="false" ht="26.85" hidden="false" customHeight="false" outlineLevel="0" collapsed="false">
      <c r="A312" s="7" t="s">
        <v>3451</v>
      </c>
      <c r="B312" s="7" t="s">
        <v>3412</v>
      </c>
      <c r="C312" s="7"/>
      <c r="D312" s="7" t="n">
        <v>2024</v>
      </c>
      <c r="E312" s="3" t="s">
        <v>3452</v>
      </c>
      <c r="F312" s="7" t="s">
        <v>140</v>
      </c>
      <c r="G312" s="3" t="s">
        <v>141</v>
      </c>
      <c r="H312" s="7" t="s">
        <v>87</v>
      </c>
      <c r="I312" s="7" t="s">
        <v>272</v>
      </c>
      <c r="J312" s="7" t="s">
        <v>273</v>
      </c>
      <c r="K312" s="7" t="s">
        <v>90</v>
      </c>
      <c r="L312" s="3" t="s">
        <v>3453</v>
      </c>
      <c r="M312" s="3" t="s">
        <v>3454</v>
      </c>
      <c r="N312" s="3" t="s">
        <v>3455</v>
      </c>
      <c r="O312" s="3"/>
      <c r="P312" s="3"/>
      <c r="Q312" s="7"/>
      <c r="R312" s="7"/>
      <c r="S312" s="3"/>
      <c r="T312" s="3" t="s">
        <v>3456</v>
      </c>
      <c r="U312" s="7"/>
      <c r="V312" s="3" t="s">
        <v>140</v>
      </c>
      <c r="W312" s="3" t="s">
        <v>3457</v>
      </c>
      <c r="X312" s="3" t="s">
        <v>3458</v>
      </c>
      <c r="Y312" s="3" t="s">
        <v>3459</v>
      </c>
      <c r="Z312" s="8" t="s">
        <v>3460</v>
      </c>
    </row>
    <row r="313" customFormat="false" ht="26.85" hidden="false" customHeight="false" outlineLevel="0" collapsed="false">
      <c r="A313" s="7" t="s">
        <v>3461</v>
      </c>
      <c r="B313" s="7" t="s">
        <v>3462</v>
      </c>
      <c r="C313" s="7"/>
      <c r="D313" s="7" t="n">
        <v>2024</v>
      </c>
      <c r="E313" s="3" t="s">
        <v>3463</v>
      </c>
      <c r="F313" s="7" t="s">
        <v>123</v>
      </c>
      <c r="G313" s="3" t="s">
        <v>124</v>
      </c>
      <c r="H313" s="7" t="s">
        <v>87</v>
      </c>
      <c r="I313" s="7" t="s">
        <v>88</v>
      </c>
      <c r="J313" s="7" t="s">
        <v>89</v>
      </c>
      <c r="K313" s="7" t="s">
        <v>90</v>
      </c>
      <c r="L313" s="3" t="s">
        <v>3464</v>
      </c>
      <c r="M313" s="3" t="s">
        <v>3465</v>
      </c>
      <c r="N313" s="3"/>
      <c r="O313" s="3" t="s">
        <v>3466</v>
      </c>
      <c r="P313" s="3" t="s">
        <v>3467</v>
      </c>
      <c r="Q313" s="7" t="s">
        <v>3418</v>
      </c>
      <c r="R313" s="7" t="n">
        <v>95</v>
      </c>
      <c r="S313" s="3" t="s">
        <v>3468</v>
      </c>
      <c r="T313" s="3" t="s">
        <v>3469</v>
      </c>
      <c r="U313" s="7"/>
      <c r="V313" s="3" t="s">
        <v>296</v>
      </c>
      <c r="W313" s="3" t="s">
        <v>3470</v>
      </c>
      <c r="X313" s="3" t="s">
        <v>3471</v>
      </c>
      <c r="Y313" s="3" t="s">
        <v>3472</v>
      </c>
      <c r="Z313" s="8" t="s">
        <v>3473</v>
      </c>
    </row>
    <row r="314" customFormat="false" ht="26.85" hidden="false" customHeight="false" outlineLevel="0" collapsed="false">
      <c r="A314" s="7" t="s">
        <v>3474</v>
      </c>
      <c r="B314" s="7" t="s">
        <v>3462</v>
      </c>
      <c r="C314" s="7"/>
      <c r="D314" s="7" t="n">
        <v>2024</v>
      </c>
      <c r="E314" s="3" t="s">
        <v>3475</v>
      </c>
      <c r="F314" s="7" t="s">
        <v>123</v>
      </c>
      <c r="G314" s="3" t="s">
        <v>124</v>
      </c>
      <c r="H314" s="7" t="s">
        <v>100</v>
      </c>
      <c r="I314" s="7" t="s">
        <v>101</v>
      </c>
      <c r="J314" s="7" t="s">
        <v>102</v>
      </c>
      <c r="K314" s="7" t="s">
        <v>103</v>
      </c>
      <c r="L314" s="3" t="s">
        <v>2339</v>
      </c>
      <c r="M314" s="3" t="s">
        <v>3476</v>
      </c>
      <c r="N314" s="3"/>
      <c r="O314" s="3"/>
      <c r="P314" s="3" t="s">
        <v>3477</v>
      </c>
      <c r="Q314" s="7" t="s">
        <v>3431</v>
      </c>
      <c r="R314" s="7" t="n">
        <v>78</v>
      </c>
      <c r="S314" s="3" t="s">
        <v>3478</v>
      </c>
      <c r="T314" s="3" t="s">
        <v>3479</v>
      </c>
      <c r="U314" s="7"/>
      <c r="V314" s="3" t="s">
        <v>123</v>
      </c>
      <c r="W314" s="3" t="s">
        <v>3480</v>
      </c>
      <c r="X314" s="3" t="s">
        <v>3481</v>
      </c>
      <c r="Y314" s="3" t="s">
        <v>3482</v>
      </c>
      <c r="Z314" s="8" t="s">
        <v>3483</v>
      </c>
    </row>
    <row r="315" customFormat="false" ht="26.85" hidden="false" customHeight="false" outlineLevel="0" collapsed="false">
      <c r="A315" s="7" t="s">
        <v>3484</v>
      </c>
      <c r="B315" s="7" t="s">
        <v>3462</v>
      </c>
      <c r="C315" s="7"/>
      <c r="D315" s="7" t="n">
        <v>2024</v>
      </c>
      <c r="E315" s="3" t="s">
        <v>3485</v>
      </c>
      <c r="F315" s="7" t="s">
        <v>123</v>
      </c>
      <c r="G315" s="3" t="s">
        <v>124</v>
      </c>
      <c r="H315" s="7" t="s">
        <v>100</v>
      </c>
      <c r="I315" s="7" t="s">
        <v>101</v>
      </c>
      <c r="J315" s="7" t="s">
        <v>102</v>
      </c>
      <c r="K315" s="7" t="s">
        <v>103</v>
      </c>
      <c r="L315" s="3" t="s">
        <v>1535</v>
      </c>
      <c r="M315" s="3" t="s">
        <v>3486</v>
      </c>
      <c r="N315" s="3"/>
      <c r="O315" s="3" t="s">
        <v>3487</v>
      </c>
      <c r="P315" s="3" t="s">
        <v>3477</v>
      </c>
      <c r="Q315" s="7" t="s">
        <v>3431</v>
      </c>
      <c r="R315" s="7" t="n">
        <v>51</v>
      </c>
      <c r="S315" s="3" t="s">
        <v>3478</v>
      </c>
      <c r="T315" s="3" t="s">
        <v>3488</v>
      </c>
      <c r="U315" s="7"/>
      <c r="V315" s="3" t="s">
        <v>296</v>
      </c>
      <c r="W315" s="3" t="s">
        <v>3489</v>
      </c>
      <c r="X315" s="3" t="s">
        <v>3490</v>
      </c>
      <c r="Y315" s="3" t="s">
        <v>3491</v>
      </c>
      <c r="Z315" s="8" t="s">
        <v>3492</v>
      </c>
    </row>
    <row r="316" customFormat="false" ht="26.85" hidden="false" customHeight="false" outlineLevel="0" collapsed="false">
      <c r="A316" s="7" t="s">
        <v>3493</v>
      </c>
      <c r="B316" s="7" t="s">
        <v>3462</v>
      </c>
      <c r="C316" s="7"/>
      <c r="D316" s="7" t="n">
        <v>2024</v>
      </c>
      <c r="E316" s="3" t="s">
        <v>3494</v>
      </c>
      <c r="F316" s="7" t="s">
        <v>123</v>
      </c>
      <c r="G316" s="3" t="s">
        <v>124</v>
      </c>
      <c r="H316" s="7" t="s">
        <v>100</v>
      </c>
      <c r="I316" s="7" t="s">
        <v>101</v>
      </c>
      <c r="J316" s="7" t="s">
        <v>102</v>
      </c>
      <c r="K316" s="7" t="s">
        <v>103</v>
      </c>
      <c r="L316" s="3" t="s">
        <v>3495</v>
      </c>
      <c r="M316" s="3" t="s">
        <v>3496</v>
      </c>
      <c r="N316" s="3" t="s">
        <v>3497</v>
      </c>
      <c r="O316" s="3" t="s">
        <v>3498</v>
      </c>
      <c r="P316" s="3" t="s">
        <v>3477</v>
      </c>
      <c r="Q316" s="7" t="s">
        <v>3431</v>
      </c>
      <c r="R316" s="7" t="n">
        <v>50</v>
      </c>
      <c r="S316" s="3" t="s">
        <v>3478</v>
      </c>
      <c r="T316" s="3" t="s">
        <v>3499</v>
      </c>
      <c r="U316" s="7"/>
      <c r="V316" s="3" t="s">
        <v>296</v>
      </c>
      <c r="W316" s="3" t="s">
        <v>3500</v>
      </c>
      <c r="X316" s="3" t="s">
        <v>3501</v>
      </c>
      <c r="Y316" s="3" t="s">
        <v>3502</v>
      </c>
      <c r="Z316" s="8" t="s">
        <v>3503</v>
      </c>
    </row>
    <row r="317" customFormat="false" ht="26.85" hidden="false" customHeight="false" outlineLevel="0" collapsed="false">
      <c r="A317" s="7" t="s">
        <v>3504</v>
      </c>
      <c r="B317" s="7" t="s">
        <v>3462</v>
      </c>
      <c r="C317" s="7"/>
      <c r="D317" s="7" t="n">
        <v>2024</v>
      </c>
      <c r="E317" s="3" t="s">
        <v>3505</v>
      </c>
      <c r="F317" s="7" t="s">
        <v>123</v>
      </c>
      <c r="G317" s="3" t="s">
        <v>124</v>
      </c>
      <c r="H317" s="7" t="s">
        <v>87</v>
      </c>
      <c r="I317" s="7" t="s">
        <v>164</v>
      </c>
      <c r="J317" s="7" t="s">
        <v>165</v>
      </c>
      <c r="K317" s="7" t="s">
        <v>166</v>
      </c>
      <c r="L317" s="3" t="s">
        <v>175</v>
      </c>
      <c r="M317" s="3" t="s">
        <v>3506</v>
      </c>
      <c r="N317" s="3" t="s">
        <v>3507</v>
      </c>
      <c r="O317" s="3" t="s">
        <v>3508</v>
      </c>
      <c r="P317" s="3" t="s">
        <v>3509</v>
      </c>
      <c r="Q317" s="7" t="s">
        <v>3418</v>
      </c>
      <c r="R317" s="7" t="n">
        <v>93</v>
      </c>
      <c r="S317" s="3" t="s">
        <v>3510</v>
      </c>
      <c r="T317" s="3" t="s">
        <v>3511</v>
      </c>
      <c r="U317" s="7"/>
      <c r="V317" s="3" t="s">
        <v>296</v>
      </c>
      <c r="W317" s="3" t="s">
        <v>3512</v>
      </c>
      <c r="X317" s="3" t="s">
        <v>3513</v>
      </c>
      <c r="Y317" s="3" t="s">
        <v>3514</v>
      </c>
      <c r="Z317" s="8" t="s">
        <v>3515</v>
      </c>
    </row>
    <row r="318" customFormat="false" ht="39.55" hidden="false" customHeight="false" outlineLevel="0" collapsed="false">
      <c r="A318" s="7" t="s">
        <v>3516</v>
      </c>
      <c r="B318" s="7" t="s">
        <v>3462</v>
      </c>
      <c r="C318" s="7"/>
      <c r="D318" s="7" t="n">
        <v>2024</v>
      </c>
      <c r="E318" s="3" t="s">
        <v>3517</v>
      </c>
      <c r="F318" s="7" t="s">
        <v>123</v>
      </c>
      <c r="G318" s="3" t="s">
        <v>124</v>
      </c>
      <c r="H318" s="7" t="s">
        <v>87</v>
      </c>
      <c r="I318" s="7" t="s">
        <v>941</v>
      </c>
      <c r="J318" s="7" t="s">
        <v>942</v>
      </c>
      <c r="K318" s="7" t="s">
        <v>1413</v>
      </c>
      <c r="L318" s="3" t="s">
        <v>3518</v>
      </c>
      <c r="M318" s="3" t="s">
        <v>3519</v>
      </c>
      <c r="N318" s="3" t="s">
        <v>3520</v>
      </c>
      <c r="O318" s="3" t="s">
        <v>3521</v>
      </c>
      <c r="P318" s="3" t="s">
        <v>3522</v>
      </c>
      <c r="Q318" s="7" t="s">
        <v>3431</v>
      </c>
      <c r="R318" s="7" t="n">
        <v>71</v>
      </c>
      <c r="S318" s="3" t="s">
        <v>3523</v>
      </c>
      <c r="T318" s="3" t="s">
        <v>3524</v>
      </c>
      <c r="U318" s="7"/>
      <c r="V318" s="3" t="s">
        <v>296</v>
      </c>
      <c r="W318" s="3" t="s">
        <v>3525</v>
      </c>
      <c r="X318" s="3" t="s">
        <v>3526</v>
      </c>
      <c r="Y318" s="3" t="s">
        <v>3527</v>
      </c>
      <c r="Z318" s="8" t="s">
        <v>3528</v>
      </c>
    </row>
    <row r="319" customFormat="false" ht="39.55" hidden="false" customHeight="false" outlineLevel="0" collapsed="false">
      <c r="A319" s="7" t="s">
        <v>3529</v>
      </c>
      <c r="B319" s="7" t="s">
        <v>3530</v>
      </c>
      <c r="C319" s="7"/>
      <c r="D319" s="7" t="n">
        <v>2024</v>
      </c>
      <c r="E319" s="3" t="s">
        <v>3531</v>
      </c>
      <c r="F319" s="7" t="s">
        <v>123</v>
      </c>
      <c r="G319" s="3" t="s">
        <v>124</v>
      </c>
      <c r="H319" s="7" t="s">
        <v>87</v>
      </c>
      <c r="I319" s="7" t="s">
        <v>781</v>
      </c>
      <c r="J319" s="7" t="s">
        <v>782</v>
      </c>
      <c r="K319" s="7" t="s">
        <v>90</v>
      </c>
      <c r="L319" s="3" t="s">
        <v>3532</v>
      </c>
      <c r="M319" s="3" t="s">
        <v>3533</v>
      </c>
      <c r="N319" s="3" t="s">
        <v>3534</v>
      </c>
      <c r="O319" s="3" t="s">
        <v>3535</v>
      </c>
      <c r="P319" s="3" t="s">
        <v>3536</v>
      </c>
      <c r="Q319" s="7" t="s">
        <v>3431</v>
      </c>
      <c r="R319" s="7" t="n">
        <v>40</v>
      </c>
      <c r="S319" s="3" t="s">
        <v>3537</v>
      </c>
      <c r="T319" s="3" t="s">
        <v>3538</v>
      </c>
      <c r="U319" s="7"/>
      <c r="V319" s="3" t="s">
        <v>296</v>
      </c>
      <c r="W319" s="3" t="s">
        <v>3539</v>
      </c>
      <c r="X319" s="3" t="s">
        <v>3540</v>
      </c>
      <c r="Y319" s="3" t="s">
        <v>3541</v>
      </c>
      <c r="Z319" s="8" t="s">
        <v>3542</v>
      </c>
    </row>
    <row r="320" customFormat="false" ht="26.85" hidden="false" customHeight="false" outlineLevel="0" collapsed="false">
      <c r="A320" s="7" t="s">
        <v>3543</v>
      </c>
      <c r="B320" s="7" t="s">
        <v>3530</v>
      </c>
      <c r="C320" s="7"/>
      <c r="D320" s="7" t="n">
        <v>2024</v>
      </c>
      <c r="E320" s="3" t="s">
        <v>3544</v>
      </c>
      <c r="F320" s="7" t="s">
        <v>123</v>
      </c>
      <c r="G320" s="3" t="s">
        <v>124</v>
      </c>
      <c r="H320" s="7" t="s">
        <v>87</v>
      </c>
      <c r="I320" s="7" t="s">
        <v>751</v>
      </c>
      <c r="J320" s="7" t="s">
        <v>752</v>
      </c>
      <c r="K320" s="7" t="s">
        <v>1746</v>
      </c>
      <c r="L320" s="3" t="s">
        <v>3545</v>
      </c>
      <c r="M320" s="3" t="s">
        <v>3546</v>
      </c>
      <c r="N320" s="3"/>
      <c r="O320" s="3"/>
      <c r="P320" s="3" t="s">
        <v>3547</v>
      </c>
      <c r="Q320" s="7" t="s">
        <v>3548</v>
      </c>
      <c r="R320" s="7" t="n">
        <v>55</v>
      </c>
      <c r="S320" s="3" t="s">
        <v>3549</v>
      </c>
      <c r="T320" s="3" t="s">
        <v>3550</v>
      </c>
      <c r="U320" s="7"/>
      <c r="V320" s="3" t="s">
        <v>296</v>
      </c>
      <c r="W320" s="3" t="s">
        <v>3551</v>
      </c>
      <c r="X320" s="3" t="s">
        <v>3552</v>
      </c>
      <c r="Y320" s="3" t="s">
        <v>3553</v>
      </c>
      <c r="Z320" s="8" t="s">
        <v>3554</v>
      </c>
    </row>
    <row r="321" customFormat="false" ht="26.85" hidden="false" customHeight="false" outlineLevel="0" collapsed="false">
      <c r="A321" s="7" t="s">
        <v>3555</v>
      </c>
      <c r="B321" s="7" t="s">
        <v>3530</v>
      </c>
      <c r="C321" s="7"/>
      <c r="D321" s="7" t="n">
        <v>2024</v>
      </c>
      <c r="E321" s="3" t="s">
        <v>3556</v>
      </c>
      <c r="F321" s="7" t="s">
        <v>123</v>
      </c>
      <c r="G321" s="3" t="s">
        <v>124</v>
      </c>
      <c r="H321" s="7" t="s">
        <v>87</v>
      </c>
      <c r="I321" s="7" t="s">
        <v>1233</v>
      </c>
      <c r="J321" s="7" t="s">
        <v>1234</v>
      </c>
      <c r="K321" s="7" t="s">
        <v>274</v>
      </c>
      <c r="L321" s="3" t="s">
        <v>3091</v>
      </c>
      <c r="M321" s="3" t="s">
        <v>3557</v>
      </c>
      <c r="N321" s="3" t="s">
        <v>3558</v>
      </c>
      <c r="O321" s="3" t="s">
        <v>3559</v>
      </c>
      <c r="P321" s="3" t="s">
        <v>3560</v>
      </c>
      <c r="Q321" s="7" t="s">
        <v>3561</v>
      </c>
      <c r="R321" s="7" t="n">
        <v>89</v>
      </c>
      <c r="S321" s="3" t="s">
        <v>3562</v>
      </c>
      <c r="T321" s="3" t="s">
        <v>3563</v>
      </c>
      <c r="U321" s="7"/>
      <c r="V321" s="3" t="s">
        <v>296</v>
      </c>
      <c r="W321" s="3" t="s">
        <v>3564</v>
      </c>
      <c r="X321" s="3" t="s">
        <v>3565</v>
      </c>
      <c r="Y321" s="3" t="s">
        <v>3566</v>
      </c>
      <c r="Z321" s="8" t="s">
        <v>3567</v>
      </c>
    </row>
    <row r="322" customFormat="false" ht="26.85" hidden="false" customHeight="false" outlineLevel="0" collapsed="false">
      <c r="A322" s="7" t="s">
        <v>3568</v>
      </c>
      <c r="B322" s="7" t="s">
        <v>3530</v>
      </c>
      <c r="C322" s="7"/>
      <c r="D322" s="7" t="n">
        <v>2024</v>
      </c>
      <c r="E322" s="3" t="s">
        <v>3569</v>
      </c>
      <c r="F322" s="7" t="s">
        <v>123</v>
      </c>
      <c r="G322" s="3" t="s">
        <v>124</v>
      </c>
      <c r="H322" s="7" t="s">
        <v>100</v>
      </c>
      <c r="I322" s="7" t="s">
        <v>101</v>
      </c>
      <c r="J322" s="7" t="s">
        <v>102</v>
      </c>
      <c r="K322" s="7" t="s">
        <v>103</v>
      </c>
      <c r="L322" s="3" t="s">
        <v>1535</v>
      </c>
      <c r="M322" s="3" t="s">
        <v>3570</v>
      </c>
      <c r="N322" s="3"/>
      <c r="O322" s="3"/>
      <c r="P322" s="3" t="s">
        <v>3477</v>
      </c>
      <c r="Q322" s="7" t="s">
        <v>3431</v>
      </c>
      <c r="R322" s="7" t="n">
        <v>42</v>
      </c>
      <c r="S322" s="3" t="s">
        <v>3571</v>
      </c>
      <c r="T322" s="3" t="s">
        <v>3572</v>
      </c>
      <c r="U322" s="7"/>
      <c r="V322" s="3" t="s">
        <v>296</v>
      </c>
      <c r="W322" s="3" t="s">
        <v>3573</v>
      </c>
      <c r="X322" s="3" t="s">
        <v>3574</v>
      </c>
      <c r="Y322" s="3" t="s">
        <v>3575</v>
      </c>
      <c r="Z322" s="8" t="s">
        <v>3576</v>
      </c>
    </row>
    <row r="323" customFormat="false" ht="26.85" hidden="false" customHeight="false" outlineLevel="0" collapsed="false">
      <c r="A323" s="7" t="s">
        <v>3577</v>
      </c>
      <c r="B323" s="7" t="s">
        <v>3431</v>
      </c>
      <c r="C323" s="7"/>
      <c r="D323" s="7" t="n">
        <v>2024</v>
      </c>
      <c r="E323" s="3" t="s">
        <v>3578</v>
      </c>
      <c r="F323" s="7" t="s">
        <v>85</v>
      </c>
      <c r="G323" s="3" t="s">
        <v>86</v>
      </c>
      <c r="H323" s="7" t="s">
        <v>100</v>
      </c>
      <c r="I323" s="7" t="s">
        <v>382</v>
      </c>
      <c r="J323" s="7" t="s">
        <v>383</v>
      </c>
      <c r="K323" s="7" t="s">
        <v>103</v>
      </c>
      <c r="L323" s="3" t="s">
        <v>3331</v>
      </c>
      <c r="M323" s="3" t="s">
        <v>3579</v>
      </c>
      <c r="N323" s="3"/>
      <c r="O323" s="3"/>
      <c r="P323" s="3"/>
      <c r="Q323" s="7"/>
      <c r="R323" s="7"/>
      <c r="S323" s="3"/>
      <c r="T323" s="3" t="s">
        <v>3580</v>
      </c>
      <c r="U323" s="7"/>
      <c r="V323" s="3" t="s">
        <v>85</v>
      </c>
      <c r="W323" s="3" t="s">
        <v>3581</v>
      </c>
      <c r="X323" s="3" t="s">
        <v>3582</v>
      </c>
      <c r="Y323" s="3" t="s">
        <v>3583</v>
      </c>
      <c r="Z323" s="8" t="s">
        <v>3584</v>
      </c>
    </row>
    <row r="324" customFormat="false" ht="26.85" hidden="false" customHeight="false" outlineLevel="0" collapsed="false">
      <c r="A324" s="7" t="s">
        <v>3585</v>
      </c>
      <c r="B324" s="7" t="s">
        <v>3418</v>
      </c>
      <c r="C324" s="7"/>
      <c r="D324" s="7" t="n">
        <v>2024</v>
      </c>
      <c r="E324" s="3" t="s">
        <v>3586</v>
      </c>
      <c r="F324" s="7" t="s">
        <v>85</v>
      </c>
      <c r="G324" s="3" t="s">
        <v>86</v>
      </c>
      <c r="H324" s="7" t="s">
        <v>87</v>
      </c>
      <c r="I324" s="7" t="s">
        <v>259</v>
      </c>
      <c r="J324" s="7" t="s">
        <v>260</v>
      </c>
      <c r="K324" s="7" t="s">
        <v>3587</v>
      </c>
      <c r="L324" s="3" t="s">
        <v>3588</v>
      </c>
      <c r="M324" s="3" t="s">
        <v>3589</v>
      </c>
      <c r="N324" s="3"/>
      <c r="O324" s="3"/>
      <c r="P324" s="3"/>
      <c r="Q324" s="7"/>
      <c r="R324" s="7"/>
      <c r="S324" s="3"/>
      <c r="T324" s="3" t="s">
        <v>3590</v>
      </c>
      <c r="U324" s="7"/>
      <c r="V324" s="3" t="s">
        <v>85</v>
      </c>
      <c r="W324" s="3" t="s">
        <v>3591</v>
      </c>
      <c r="X324" s="3" t="s">
        <v>3592</v>
      </c>
      <c r="Y324" s="3" t="s">
        <v>3593</v>
      </c>
      <c r="Z324" s="8" t="s">
        <v>3594</v>
      </c>
    </row>
    <row r="325" customFormat="false" ht="26.85" hidden="false" customHeight="false" outlineLevel="0" collapsed="false">
      <c r="A325" s="7" t="s">
        <v>3595</v>
      </c>
      <c r="B325" s="7" t="s">
        <v>3561</v>
      </c>
      <c r="C325" s="7"/>
      <c r="D325" s="7" t="n">
        <v>2024</v>
      </c>
      <c r="E325" s="3" t="s">
        <v>3596</v>
      </c>
      <c r="F325" s="7" t="s">
        <v>123</v>
      </c>
      <c r="G325" s="3" t="s">
        <v>124</v>
      </c>
      <c r="H325" s="7" t="s">
        <v>87</v>
      </c>
      <c r="I325" s="7" t="s">
        <v>502</v>
      </c>
      <c r="J325" s="7" t="s">
        <v>503</v>
      </c>
      <c r="K325" s="7" t="s">
        <v>2399</v>
      </c>
      <c r="L325" s="3" t="s">
        <v>3597</v>
      </c>
      <c r="M325" s="3" t="s">
        <v>3598</v>
      </c>
      <c r="N325" s="3" t="s">
        <v>3599</v>
      </c>
      <c r="O325" s="3"/>
      <c r="P325" s="3" t="s">
        <v>3310</v>
      </c>
      <c r="Q325" s="7" t="s">
        <v>3311</v>
      </c>
      <c r="R325" s="7" t="n">
        <v>145</v>
      </c>
      <c r="S325" s="3" t="s">
        <v>3600</v>
      </c>
      <c r="T325" s="3" t="s">
        <v>3601</v>
      </c>
      <c r="U325" s="7"/>
      <c r="V325" s="3" t="s">
        <v>296</v>
      </c>
      <c r="W325" s="3" t="s">
        <v>3602</v>
      </c>
      <c r="X325" s="3" t="s">
        <v>3603</v>
      </c>
      <c r="Y325" s="3" t="s">
        <v>3604</v>
      </c>
      <c r="Z325" s="8" t="s">
        <v>3605</v>
      </c>
    </row>
    <row r="326" customFormat="false" ht="52.2" hidden="false" customHeight="false" outlineLevel="0" collapsed="false">
      <c r="A326" s="7" t="s">
        <v>3606</v>
      </c>
      <c r="B326" s="7" t="s">
        <v>3561</v>
      </c>
      <c r="C326" s="7"/>
      <c r="D326" s="7" t="n">
        <v>2024</v>
      </c>
      <c r="E326" s="3" t="s">
        <v>3607</v>
      </c>
      <c r="F326" s="7" t="s">
        <v>123</v>
      </c>
      <c r="G326" s="3" t="s">
        <v>124</v>
      </c>
      <c r="H326" s="7" t="s">
        <v>87</v>
      </c>
      <c r="I326" s="7" t="s">
        <v>502</v>
      </c>
      <c r="J326" s="7" t="s">
        <v>503</v>
      </c>
      <c r="K326" s="7" t="s">
        <v>2399</v>
      </c>
      <c r="L326" s="3" t="s">
        <v>3608</v>
      </c>
      <c r="M326" s="3" t="s">
        <v>3609</v>
      </c>
      <c r="N326" s="3" t="s">
        <v>3610</v>
      </c>
      <c r="O326" s="3" t="s">
        <v>3611</v>
      </c>
      <c r="P326" s="3" t="s">
        <v>3310</v>
      </c>
      <c r="Q326" s="7" t="s">
        <v>3311</v>
      </c>
      <c r="R326" s="7" t="n">
        <v>145</v>
      </c>
      <c r="S326" s="3" t="s">
        <v>3612</v>
      </c>
      <c r="T326" s="3" t="s">
        <v>3613</v>
      </c>
      <c r="U326" s="7"/>
      <c r="V326" s="3" t="s">
        <v>296</v>
      </c>
      <c r="W326" s="3" t="s">
        <v>3614</v>
      </c>
      <c r="X326" s="3" t="s">
        <v>3615</v>
      </c>
      <c r="Y326" s="3" t="s">
        <v>3616</v>
      </c>
      <c r="Z326" s="8" t="s">
        <v>3617</v>
      </c>
    </row>
    <row r="327" customFormat="false" ht="26.85" hidden="false" customHeight="false" outlineLevel="0" collapsed="false">
      <c r="A327" s="7" t="s">
        <v>3618</v>
      </c>
      <c r="B327" s="7" t="s">
        <v>3619</v>
      </c>
      <c r="C327" s="7"/>
      <c r="D327" s="7" t="n">
        <v>2024</v>
      </c>
      <c r="E327" s="3" t="s">
        <v>3620</v>
      </c>
      <c r="F327" s="7" t="s">
        <v>140</v>
      </c>
      <c r="G327" s="3" t="s">
        <v>141</v>
      </c>
      <c r="H327" s="7" t="s">
        <v>100</v>
      </c>
      <c r="I327" s="7" t="s">
        <v>101</v>
      </c>
      <c r="J327" s="7" t="s">
        <v>102</v>
      </c>
      <c r="K327" s="7" t="s">
        <v>103</v>
      </c>
      <c r="L327" s="3"/>
      <c r="M327" s="3" t="s">
        <v>3621</v>
      </c>
      <c r="N327" s="3" t="s">
        <v>3622</v>
      </c>
      <c r="O327" s="3" t="s">
        <v>3623</v>
      </c>
      <c r="P327" s="3"/>
      <c r="Q327" s="7"/>
      <c r="R327" s="7"/>
      <c r="S327" s="3"/>
      <c r="T327" s="3" t="s">
        <v>3624</v>
      </c>
      <c r="U327" s="7"/>
      <c r="V327" s="3" t="s">
        <v>140</v>
      </c>
      <c r="W327" s="3" t="s">
        <v>3625</v>
      </c>
      <c r="X327" s="3" t="s">
        <v>3626</v>
      </c>
      <c r="Y327" s="3" t="s">
        <v>3627</v>
      </c>
      <c r="Z327" s="8" t="s">
        <v>3628</v>
      </c>
    </row>
    <row r="328" customFormat="false" ht="26.85" hidden="false" customHeight="false" outlineLevel="0" collapsed="false">
      <c r="A328" s="7" t="s">
        <v>3629</v>
      </c>
      <c r="B328" s="7" t="s">
        <v>3619</v>
      </c>
      <c r="C328" s="7"/>
      <c r="D328" s="7" t="n">
        <v>2024</v>
      </c>
      <c r="E328" s="3" t="s">
        <v>3630</v>
      </c>
      <c r="F328" s="7" t="s">
        <v>140</v>
      </c>
      <c r="G328" s="3" t="s">
        <v>141</v>
      </c>
      <c r="H328" s="7" t="s">
        <v>87</v>
      </c>
      <c r="I328" s="7" t="s">
        <v>164</v>
      </c>
      <c r="J328" s="7" t="s">
        <v>165</v>
      </c>
      <c r="K328" s="7" t="s">
        <v>90</v>
      </c>
      <c r="L328" s="3" t="s">
        <v>3631</v>
      </c>
      <c r="M328" s="3" t="s">
        <v>3632</v>
      </c>
      <c r="N328" s="3" t="s">
        <v>3633</v>
      </c>
      <c r="O328" s="3" t="s">
        <v>3634</v>
      </c>
      <c r="P328" s="3"/>
      <c r="Q328" s="7"/>
      <c r="R328" s="7"/>
      <c r="S328" s="3"/>
      <c r="T328" s="3" t="s">
        <v>3635</v>
      </c>
      <c r="U328" s="7"/>
      <c r="V328" s="3" t="s">
        <v>140</v>
      </c>
      <c r="W328" s="3" t="s">
        <v>3636</v>
      </c>
      <c r="X328" s="3" t="s">
        <v>3637</v>
      </c>
      <c r="Y328" s="3" t="s">
        <v>3638</v>
      </c>
      <c r="Z328" s="8" t="s">
        <v>3639</v>
      </c>
    </row>
    <row r="329" customFormat="false" ht="26.85" hidden="false" customHeight="false" outlineLevel="0" collapsed="false">
      <c r="A329" s="7" t="s">
        <v>3640</v>
      </c>
      <c r="B329" s="7" t="s">
        <v>3619</v>
      </c>
      <c r="C329" s="7"/>
      <c r="D329" s="7" t="n">
        <v>2024</v>
      </c>
      <c r="E329" s="3" t="s">
        <v>3641</v>
      </c>
      <c r="F329" s="7" t="s">
        <v>140</v>
      </c>
      <c r="G329" s="3" t="s">
        <v>141</v>
      </c>
      <c r="H329" s="7" t="s">
        <v>87</v>
      </c>
      <c r="I329" s="7" t="s">
        <v>1488</v>
      </c>
      <c r="J329" s="7" t="s">
        <v>1489</v>
      </c>
      <c r="K329" s="7" t="s">
        <v>274</v>
      </c>
      <c r="L329" s="3" t="s">
        <v>3642</v>
      </c>
      <c r="M329" s="3" t="s">
        <v>3643</v>
      </c>
      <c r="N329" s="3" t="s">
        <v>3644</v>
      </c>
      <c r="O329" s="3" t="s">
        <v>3645</v>
      </c>
      <c r="P329" s="3"/>
      <c r="Q329" s="7"/>
      <c r="R329" s="7"/>
      <c r="S329" s="3"/>
      <c r="T329" s="3" t="s">
        <v>3646</v>
      </c>
      <c r="U329" s="7"/>
      <c r="V329" s="3" t="s">
        <v>140</v>
      </c>
      <c r="W329" s="3" t="s">
        <v>3647</v>
      </c>
      <c r="X329" s="3" t="s">
        <v>3648</v>
      </c>
      <c r="Y329" s="3" t="s">
        <v>3649</v>
      </c>
      <c r="Z329" s="8" t="s">
        <v>3650</v>
      </c>
    </row>
    <row r="330" customFormat="false" ht="26.85" hidden="false" customHeight="false" outlineLevel="0" collapsed="false">
      <c r="A330" s="7" t="s">
        <v>3651</v>
      </c>
      <c r="B330" s="7" t="s">
        <v>3652</v>
      </c>
      <c r="C330" s="7"/>
      <c r="D330" s="7" t="n">
        <v>2024</v>
      </c>
      <c r="E330" s="3" t="s">
        <v>3653</v>
      </c>
      <c r="F330" s="7" t="s">
        <v>123</v>
      </c>
      <c r="G330" s="3" t="s">
        <v>124</v>
      </c>
      <c r="H330" s="7" t="s">
        <v>87</v>
      </c>
      <c r="I330" s="7" t="s">
        <v>290</v>
      </c>
      <c r="J330" s="7" t="s">
        <v>291</v>
      </c>
      <c r="K330" s="7" t="s">
        <v>90</v>
      </c>
      <c r="L330" s="3" t="s">
        <v>3654</v>
      </c>
      <c r="M330" s="3" t="s">
        <v>3655</v>
      </c>
      <c r="N330" s="3" t="s">
        <v>3656</v>
      </c>
      <c r="O330" s="3" t="s">
        <v>3657</v>
      </c>
      <c r="P330" s="3" t="s">
        <v>3443</v>
      </c>
      <c r="Q330" s="7" t="s">
        <v>3444</v>
      </c>
      <c r="R330" s="7" t="n">
        <v>54</v>
      </c>
      <c r="S330" s="3" t="s">
        <v>3658</v>
      </c>
      <c r="T330" s="3" t="s">
        <v>3659</v>
      </c>
      <c r="U330" s="7"/>
      <c r="V330" s="3" t="s">
        <v>296</v>
      </c>
      <c r="W330" s="3" t="s">
        <v>3660</v>
      </c>
      <c r="X330" s="3" t="s">
        <v>3661</v>
      </c>
      <c r="Y330" s="3" t="s">
        <v>3662</v>
      </c>
      <c r="Z330" s="8" t="s">
        <v>3663</v>
      </c>
    </row>
    <row r="331" customFormat="false" ht="26.85" hidden="false" customHeight="false" outlineLevel="0" collapsed="false">
      <c r="A331" s="7" t="s">
        <v>3664</v>
      </c>
      <c r="B331" s="7" t="s">
        <v>3652</v>
      </c>
      <c r="C331" s="7"/>
      <c r="D331" s="7" t="n">
        <v>2024</v>
      </c>
      <c r="E331" s="3" t="s">
        <v>3665</v>
      </c>
      <c r="F331" s="7" t="s">
        <v>140</v>
      </c>
      <c r="G331" s="3" t="s">
        <v>141</v>
      </c>
      <c r="H331" s="7" t="s">
        <v>100</v>
      </c>
      <c r="I331" s="7" t="s">
        <v>101</v>
      </c>
      <c r="J331" s="7" t="s">
        <v>102</v>
      </c>
      <c r="K331" s="7" t="s">
        <v>103</v>
      </c>
      <c r="L331" s="3" t="s">
        <v>1700</v>
      </c>
      <c r="M331" s="3" t="s">
        <v>3666</v>
      </c>
      <c r="N331" s="3"/>
      <c r="O331" s="3" t="s">
        <v>3667</v>
      </c>
      <c r="P331" s="3"/>
      <c r="Q331" s="7"/>
      <c r="R331" s="7"/>
      <c r="S331" s="3"/>
      <c r="T331" s="3" t="s">
        <v>3668</v>
      </c>
      <c r="U331" s="7"/>
      <c r="V331" s="3" t="s">
        <v>140</v>
      </c>
      <c r="W331" s="3" t="s">
        <v>3669</v>
      </c>
      <c r="X331" s="3" t="s">
        <v>3670</v>
      </c>
      <c r="Y331" s="3" t="s">
        <v>3671</v>
      </c>
      <c r="Z331" s="8" t="s">
        <v>3672</v>
      </c>
    </row>
    <row r="332" customFormat="false" ht="26.85" hidden="false" customHeight="false" outlineLevel="0" collapsed="false">
      <c r="A332" s="7" t="s">
        <v>3673</v>
      </c>
      <c r="B332" s="7" t="s">
        <v>3652</v>
      </c>
      <c r="C332" s="7"/>
      <c r="D332" s="7" t="n">
        <v>2024</v>
      </c>
      <c r="E332" s="3" t="s">
        <v>3674</v>
      </c>
      <c r="F332" s="7" t="s">
        <v>123</v>
      </c>
      <c r="G332" s="3" t="s">
        <v>124</v>
      </c>
      <c r="H332" s="7" t="s">
        <v>87</v>
      </c>
      <c r="I332" s="7" t="s">
        <v>2247</v>
      </c>
      <c r="J332" s="7" t="s">
        <v>2248</v>
      </c>
      <c r="K332" s="7" t="s">
        <v>3014</v>
      </c>
      <c r="L332" s="3" t="s">
        <v>3015</v>
      </c>
      <c r="M332" s="3" t="s">
        <v>3675</v>
      </c>
      <c r="N332" s="3" t="s">
        <v>3676</v>
      </c>
      <c r="O332" s="3" t="s">
        <v>3677</v>
      </c>
      <c r="P332" s="3" t="s">
        <v>3678</v>
      </c>
      <c r="Q332" s="7" t="s">
        <v>3311</v>
      </c>
      <c r="R332" s="7" t="n">
        <v>98</v>
      </c>
      <c r="S332" s="3" t="s">
        <v>3679</v>
      </c>
      <c r="T332" s="3" t="s">
        <v>3680</v>
      </c>
      <c r="U332" s="7"/>
      <c r="V332" s="3" t="s">
        <v>296</v>
      </c>
      <c r="W332" s="3" t="s">
        <v>3681</v>
      </c>
      <c r="X332" s="3" t="s">
        <v>3682</v>
      </c>
      <c r="Y332" s="3" t="s">
        <v>3683</v>
      </c>
      <c r="Z332" s="8" t="s">
        <v>3684</v>
      </c>
    </row>
    <row r="333" customFormat="false" ht="52.2" hidden="false" customHeight="false" outlineLevel="0" collapsed="false">
      <c r="A333" s="7" t="s">
        <v>3685</v>
      </c>
      <c r="B333" s="7" t="s">
        <v>3652</v>
      </c>
      <c r="C333" s="7"/>
      <c r="D333" s="7" t="n">
        <v>2024</v>
      </c>
      <c r="E333" s="3" t="s">
        <v>3686</v>
      </c>
      <c r="F333" s="7" t="s">
        <v>123</v>
      </c>
      <c r="G333" s="3" t="s">
        <v>124</v>
      </c>
      <c r="H333" s="7" t="s">
        <v>87</v>
      </c>
      <c r="I333" s="7" t="s">
        <v>2247</v>
      </c>
      <c r="J333" s="7" t="s">
        <v>2248</v>
      </c>
      <c r="K333" s="7" t="s">
        <v>3014</v>
      </c>
      <c r="L333" s="3" t="s">
        <v>3015</v>
      </c>
      <c r="M333" s="3" t="s">
        <v>3687</v>
      </c>
      <c r="N333" s="3"/>
      <c r="O333" s="3" t="s">
        <v>3688</v>
      </c>
      <c r="P333" s="3" t="s">
        <v>3678</v>
      </c>
      <c r="Q333" s="7" t="s">
        <v>3311</v>
      </c>
      <c r="R333" s="7"/>
      <c r="S333" s="3" t="s">
        <v>3689</v>
      </c>
      <c r="T333" s="3" t="s">
        <v>3690</v>
      </c>
      <c r="U333" s="7"/>
      <c r="V333" s="3" t="s">
        <v>296</v>
      </c>
      <c r="W333" s="3" t="s">
        <v>3691</v>
      </c>
      <c r="X333" s="3" t="s">
        <v>3692</v>
      </c>
      <c r="Y333" s="3" t="s">
        <v>3693</v>
      </c>
      <c r="Z333" s="8" t="s">
        <v>3694</v>
      </c>
    </row>
    <row r="334" customFormat="false" ht="26.85" hidden="false" customHeight="false" outlineLevel="0" collapsed="false">
      <c r="A334" s="7" t="s">
        <v>3695</v>
      </c>
      <c r="B334" s="7" t="s">
        <v>3696</v>
      </c>
      <c r="C334" s="7"/>
      <c r="D334" s="7" t="n">
        <v>2024</v>
      </c>
      <c r="E334" s="3" t="s">
        <v>3697</v>
      </c>
      <c r="F334" s="7" t="s">
        <v>140</v>
      </c>
      <c r="G334" s="3" t="s">
        <v>141</v>
      </c>
      <c r="H334" s="7" t="s">
        <v>100</v>
      </c>
      <c r="I334" s="7" t="s">
        <v>101</v>
      </c>
      <c r="J334" s="7" t="s">
        <v>102</v>
      </c>
      <c r="K334" s="7" t="s">
        <v>103</v>
      </c>
      <c r="L334" s="3" t="s">
        <v>1700</v>
      </c>
      <c r="M334" s="3" t="s">
        <v>3698</v>
      </c>
      <c r="N334" s="3" t="s">
        <v>3699</v>
      </c>
      <c r="O334" s="3"/>
      <c r="P334" s="3"/>
      <c r="Q334" s="7"/>
      <c r="R334" s="7"/>
      <c r="S334" s="3"/>
      <c r="T334" s="3" t="s">
        <v>3700</v>
      </c>
      <c r="U334" s="7"/>
      <c r="V334" s="3" t="s">
        <v>140</v>
      </c>
      <c r="W334" s="3" t="s">
        <v>3701</v>
      </c>
      <c r="X334" s="3" t="s">
        <v>3702</v>
      </c>
      <c r="Y334" s="3" t="s">
        <v>3703</v>
      </c>
      <c r="Z334" s="8" t="s">
        <v>3704</v>
      </c>
    </row>
    <row r="335" customFormat="false" ht="26.85" hidden="false" customHeight="false" outlineLevel="0" collapsed="false">
      <c r="A335" s="7" t="s">
        <v>3705</v>
      </c>
      <c r="B335" s="7" t="s">
        <v>3696</v>
      </c>
      <c r="C335" s="7"/>
      <c r="D335" s="7" t="n">
        <v>2024</v>
      </c>
      <c r="E335" s="3" t="s">
        <v>3706</v>
      </c>
      <c r="F335" s="7" t="s">
        <v>140</v>
      </c>
      <c r="G335" s="3" t="s">
        <v>141</v>
      </c>
      <c r="H335" s="7" t="s">
        <v>87</v>
      </c>
      <c r="I335" s="7" t="s">
        <v>259</v>
      </c>
      <c r="J335" s="7" t="s">
        <v>260</v>
      </c>
      <c r="K335" s="7" t="s">
        <v>3587</v>
      </c>
      <c r="L335" s="3" t="s">
        <v>3588</v>
      </c>
      <c r="M335" s="3" t="s">
        <v>3707</v>
      </c>
      <c r="N335" s="3"/>
      <c r="O335" s="3" t="s">
        <v>3708</v>
      </c>
      <c r="P335" s="3"/>
      <c r="Q335" s="7"/>
      <c r="R335" s="7"/>
      <c r="S335" s="3"/>
      <c r="T335" s="3" t="s">
        <v>3709</v>
      </c>
      <c r="U335" s="7"/>
      <c r="V335" s="3" t="s">
        <v>140</v>
      </c>
      <c r="W335" s="3" t="s">
        <v>3710</v>
      </c>
      <c r="X335" s="3" t="s">
        <v>3711</v>
      </c>
      <c r="Y335" s="3" t="s">
        <v>3712</v>
      </c>
      <c r="Z335" s="8" t="s">
        <v>3713</v>
      </c>
    </row>
    <row r="336" customFormat="false" ht="39.55" hidden="false" customHeight="false" outlineLevel="0" collapsed="false">
      <c r="A336" s="7" t="s">
        <v>3714</v>
      </c>
      <c r="B336" s="7" t="s">
        <v>3696</v>
      </c>
      <c r="C336" s="7"/>
      <c r="D336" s="7" t="n">
        <v>2024</v>
      </c>
      <c r="E336" s="3" t="s">
        <v>3715</v>
      </c>
      <c r="F336" s="7" t="s">
        <v>140</v>
      </c>
      <c r="G336" s="3" t="s">
        <v>141</v>
      </c>
      <c r="H336" s="7" t="s">
        <v>87</v>
      </c>
      <c r="I336" s="7" t="s">
        <v>164</v>
      </c>
      <c r="J336" s="7" t="s">
        <v>165</v>
      </c>
      <c r="K336" s="7" t="s">
        <v>90</v>
      </c>
      <c r="L336" s="3" t="s">
        <v>3716</v>
      </c>
      <c r="M336" s="3" t="s">
        <v>3717</v>
      </c>
      <c r="N336" s="3" t="s">
        <v>3718</v>
      </c>
      <c r="O336" s="3" t="s">
        <v>3719</v>
      </c>
      <c r="P336" s="3"/>
      <c r="Q336" s="7"/>
      <c r="R336" s="7"/>
      <c r="S336" s="3"/>
      <c r="T336" s="3" t="s">
        <v>3720</v>
      </c>
      <c r="U336" s="7"/>
      <c r="V336" s="3" t="s">
        <v>296</v>
      </c>
      <c r="W336" s="3" t="s">
        <v>3721</v>
      </c>
      <c r="X336" s="3" t="s">
        <v>3722</v>
      </c>
      <c r="Y336" s="3" t="s">
        <v>3723</v>
      </c>
      <c r="Z336" s="8" t="s">
        <v>3724</v>
      </c>
    </row>
    <row r="337" customFormat="false" ht="26.85" hidden="false" customHeight="false" outlineLevel="0" collapsed="false">
      <c r="A337" s="7" t="s">
        <v>3725</v>
      </c>
      <c r="B337" s="7" t="s">
        <v>3696</v>
      </c>
      <c r="C337" s="7"/>
      <c r="D337" s="7" t="n">
        <v>2024</v>
      </c>
      <c r="E337" s="3" t="s">
        <v>3726</v>
      </c>
      <c r="F337" s="7" t="s">
        <v>85</v>
      </c>
      <c r="G337" s="3" t="s">
        <v>86</v>
      </c>
      <c r="H337" s="7" t="s">
        <v>87</v>
      </c>
      <c r="I337" s="7" t="s">
        <v>1933</v>
      </c>
      <c r="J337" s="7" t="s">
        <v>1934</v>
      </c>
      <c r="K337" s="7" t="s">
        <v>90</v>
      </c>
      <c r="L337" s="3" t="s">
        <v>2883</v>
      </c>
      <c r="M337" s="3" t="s">
        <v>3727</v>
      </c>
      <c r="N337" s="3"/>
      <c r="O337" s="3"/>
      <c r="P337" s="3"/>
      <c r="Q337" s="7"/>
      <c r="R337" s="7"/>
      <c r="S337" s="3"/>
      <c r="T337" s="3" t="s">
        <v>3728</v>
      </c>
      <c r="U337" s="7"/>
      <c r="V337" s="3" t="s">
        <v>85</v>
      </c>
      <c r="W337" s="3" t="s">
        <v>3729</v>
      </c>
      <c r="X337" s="3" t="s">
        <v>3730</v>
      </c>
      <c r="Y337" s="3" t="s">
        <v>3731</v>
      </c>
      <c r="Z337" s="8" t="s">
        <v>3732</v>
      </c>
    </row>
    <row r="338" customFormat="false" ht="26.85" hidden="false" customHeight="false" outlineLevel="0" collapsed="false">
      <c r="A338" s="7" t="s">
        <v>3733</v>
      </c>
      <c r="B338" s="7" t="s">
        <v>3444</v>
      </c>
      <c r="C338" s="7"/>
      <c r="D338" s="7" t="n">
        <v>2024</v>
      </c>
      <c r="E338" s="3" t="s">
        <v>3734</v>
      </c>
      <c r="F338" s="7" t="s">
        <v>140</v>
      </c>
      <c r="G338" s="3" t="s">
        <v>141</v>
      </c>
      <c r="H338" s="7" t="s">
        <v>87</v>
      </c>
      <c r="I338" s="7" t="s">
        <v>703</v>
      </c>
      <c r="J338" s="7" t="s">
        <v>704</v>
      </c>
      <c r="K338" s="7" t="s">
        <v>90</v>
      </c>
      <c r="L338" s="3" t="s">
        <v>2944</v>
      </c>
      <c r="M338" s="3" t="s">
        <v>3735</v>
      </c>
      <c r="N338" s="3" t="s">
        <v>3736</v>
      </c>
      <c r="O338" s="3"/>
      <c r="P338" s="3"/>
      <c r="Q338" s="7"/>
      <c r="R338" s="7"/>
      <c r="S338" s="3"/>
      <c r="T338" s="3" t="s">
        <v>3737</v>
      </c>
      <c r="U338" s="7"/>
      <c r="V338" s="3" t="s">
        <v>140</v>
      </c>
      <c r="W338" s="3" t="s">
        <v>3738</v>
      </c>
      <c r="X338" s="3" t="s">
        <v>3739</v>
      </c>
      <c r="Y338" s="3" t="s">
        <v>3740</v>
      </c>
      <c r="Z338" s="8" t="s">
        <v>3741</v>
      </c>
    </row>
    <row r="339" customFormat="false" ht="26.85" hidden="false" customHeight="false" outlineLevel="0" collapsed="false">
      <c r="A339" s="7" t="s">
        <v>3742</v>
      </c>
      <c r="B339" s="7" t="s">
        <v>3444</v>
      </c>
      <c r="C339" s="7"/>
      <c r="D339" s="7" t="n">
        <v>2024</v>
      </c>
      <c r="E339" s="3" t="s">
        <v>3743</v>
      </c>
      <c r="F339" s="7" t="s">
        <v>123</v>
      </c>
      <c r="G339" s="3" t="s">
        <v>124</v>
      </c>
      <c r="H339" s="7" t="s">
        <v>87</v>
      </c>
      <c r="I339" s="7" t="s">
        <v>2247</v>
      </c>
      <c r="J339" s="7" t="s">
        <v>2248</v>
      </c>
      <c r="K339" s="7" t="s">
        <v>3014</v>
      </c>
      <c r="L339" s="3" t="s">
        <v>3015</v>
      </c>
      <c r="M339" s="3" t="s">
        <v>3744</v>
      </c>
      <c r="N339" s="3"/>
      <c r="O339" s="3" t="s">
        <v>3745</v>
      </c>
      <c r="P339" s="3" t="s">
        <v>3678</v>
      </c>
      <c r="Q339" s="7" t="s">
        <v>3311</v>
      </c>
      <c r="R339" s="7" t="n">
        <v>30</v>
      </c>
      <c r="S339" s="3" t="s">
        <v>3689</v>
      </c>
      <c r="T339" s="3" t="s">
        <v>3746</v>
      </c>
      <c r="U339" s="7"/>
      <c r="V339" s="3" t="s">
        <v>296</v>
      </c>
      <c r="W339" s="3" t="s">
        <v>3747</v>
      </c>
      <c r="X339" s="3" t="s">
        <v>3748</v>
      </c>
      <c r="Y339" s="3" t="s">
        <v>3749</v>
      </c>
      <c r="Z339" s="8" t="s">
        <v>3750</v>
      </c>
    </row>
    <row r="340" customFormat="false" ht="26.85" hidden="false" customHeight="false" outlineLevel="0" collapsed="false">
      <c r="A340" s="7" t="s">
        <v>3751</v>
      </c>
      <c r="B340" s="7" t="s">
        <v>3444</v>
      </c>
      <c r="C340" s="7"/>
      <c r="D340" s="7" t="n">
        <v>2024</v>
      </c>
      <c r="E340" s="3" t="s">
        <v>3752</v>
      </c>
      <c r="F340" s="7" t="s">
        <v>123</v>
      </c>
      <c r="G340" s="3" t="s">
        <v>124</v>
      </c>
      <c r="H340" s="7" t="s">
        <v>100</v>
      </c>
      <c r="I340" s="7" t="s">
        <v>502</v>
      </c>
      <c r="J340" s="7" t="s">
        <v>503</v>
      </c>
      <c r="K340" s="7" t="s">
        <v>103</v>
      </c>
      <c r="L340" s="3" t="s">
        <v>1535</v>
      </c>
      <c r="M340" s="3" t="s">
        <v>3753</v>
      </c>
      <c r="N340" s="3" t="s">
        <v>3754</v>
      </c>
      <c r="O340" s="3" t="s">
        <v>3755</v>
      </c>
      <c r="P340" s="3" t="s">
        <v>3310</v>
      </c>
      <c r="Q340" s="7" t="s">
        <v>3311</v>
      </c>
      <c r="R340" s="7" t="n">
        <v>46</v>
      </c>
      <c r="S340" s="3" t="s">
        <v>3756</v>
      </c>
      <c r="T340" s="3" t="s">
        <v>3757</v>
      </c>
      <c r="U340" s="7"/>
      <c r="V340" s="3" t="s">
        <v>296</v>
      </c>
      <c r="W340" s="3" t="s">
        <v>3758</v>
      </c>
      <c r="X340" s="3" t="s">
        <v>3759</v>
      </c>
      <c r="Y340" s="3" t="s">
        <v>3760</v>
      </c>
      <c r="Z340" s="8" t="s">
        <v>3761</v>
      </c>
    </row>
    <row r="341" customFormat="false" ht="26.85" hidden="false" customHeight="false" outlineLevel="0" collapsed="false">
      <c r="A341" s="7" t="s">
        <v>3762</v>
      </c>
      <c r="B341" s="7" t="s">
        <v>3311</v>
      </c>
      <c r="C341" s="7"/>
      <c r="D341" s="7" t="n">
        <v>2024</v>
      </c>
      <c r="E341" s="3" t="s">
        <v>3763</v>
      </c>
      <c r="F341" s="7" t="s">
        <v>140</v>
      </c>
      <c r="G341" s="3" t="s">
        <v>141</v>
      </c>
      <c r="H341" s="7" t="s">
        <v>87</v>
      </c>
      <c r="I341" s="7" t="s">
        <v>225</v>
      </c>
      <c r="J341" s="7" t="s">
        <v>226</v>
      </c>
      <c r="K341" s="7" t="s">
        <v>227</v>
      </c>
      <c r="L341" s="3" t="s">
        <v>368</v>
      </c>
      <c r="M341" s="3" t="s">
        <v>3764</v>
      </c>
      <c r="N341" s="3" t="s">
        <v>3765</v>
      </c>
      <c r="O341" s="3" t="s">
        <v>3766</v>
      </c>
      <c r="P341" s="3"/>
      <c r="Q341" s="7"/>
      <c r="R341" s="7"/>
      <c r="S341" s="3"/>
      <c r="T341" s="3" t="s">
        <v>3767</v>
      </c>
      <c r="U341" s="7"/>
      <c r="V341" s="3" t="s">
        <v>140</v>
      </c>
      <c r="W341" s="3" t="s">
        <v>3768</v>
      </c>
      <c r="X341" s="3" t="s">
        <v>3769</v>
      </c>
      <c r="Y341" s="3" t="s">
        <v>3770</v>
      </c>
      <c r="Z341" s="8" t="s">
        <v>3771</v>
      </c>
    </row>
    <row r="342" customFormat="false" ht="39.55" hidden="false" customHeight="false" outlineLevel="0" collapsed="false">
      <c r="A342" s="7" t="s">
        <v>3772</v>
      </c>
      <c r="B342" s="7" t="s">
        <v>3773</v>
      </c>
      <c r="C342" s="7"/>
      <c r="D342" s="7" t="n">
        <v>2024</v>
      </c>
      <c r="E342" s="3" t="s">
        <v>3774</v>
      </c>
      <c r="F342" s="7" t="s">
        <v>85</v>
      </c>
      <c r="G342" s="3" t="s">
        <v>86</v>
      </c>
      <c r="H342" s="7" t="s">
        <v>100</v>
      </c>
      <c r="I342" s="7" t="s">
        <v>125</v>
      </c>
      <c r="J342" s="7" t="s">
        <v>126</v>
      </c>
      <c r="K342" s="7" t="s">
        <v>103</v>
      </c>
      <c r="L342" s="3" t="s">
        <v>3775</v>
      </c>
      <c r="M342" s="3" t="s">
        <v>3776</v>
      </c>
      <c r="N342" s="3"/>
      <c r="O342" s="3" t="s">
        <v>3777</v>
      </c>
      <c r="P342" s="3"/>
      <c r="Q342" s="7"/>
      <c r="R342" s="7"/>
      <c r="S342" s="3"/>
      <c r="T342" s="3" t="s">
        <v>3778</v>
      </c>
      <c r="U342" s="7"/>
      <c r="V342" s="3" t="s">
        <v>85</v>
      </c>
      <c r="W342" s="3" t="s">
        <v>3779</v>
      </c>
      <c r="X342" s="3" t="s">
        <v>3780</v>
      </c>
      <c r="Y342" s="3" t="s">
        <v>3781</v>
      </c>
      <c r="Z342" s="8" t="s">
        <v>3782</v>
      </c>
    </row>
    <row r="343" customFormat="false" ht="26.85" hidden="false" customHeight="false" outlineLevel="0" collapsed="false">
      <c r="A343" s="7" t="s">
        <v>3783</v>
      </c>
      <c r="B343" s="7" t="s">
        <v>3784</v>
      </c>
      <c r="C343" s="7"/>
      <c r="D343" s="7" t="n">
        <v>2025</v>
      </c>
      <c r="E343" s="3" t="s">
        <v>3785</v>
      </c>
      <c r="F343" s="7" t="s">
        <v>140</v>
      </c>
      <c r="G343" s="3" t="s">
        <v>141</v>
      </c>
      <c r="H343" s="7" t="s">
        <v>87</v>
      </c>
      <c r="I343" s="7" t="s">
        <v>290</v>
      </c>
      <c r="J343" s="7" t="s">
        <v>291</v>
      </c>
      <c r="K343" s="7" t="s">
        <v>90</v>
      </c>
      <c r="L343" s="3" t="s">
        <v>3786</v>
      </c>
      <c r="M343" s="3" t="s">
        <v>3787</v>
      </c>
      <c r="N343" s="3"/>
      <c r="O343" s="3"/>
      <c r="P343" s="3"/>
      <c r="Q343" s="7"/>
      <c r="R343" s="7"/>
      <c r="S343" s="3"/>
      <c r="T343" s="3" t="s">
        <v>3788</v>
      </c>
      <c r="U343" s="7"/>
      <c r="V343" s="3" t="s">
        <v>140</v>
      </c>
      <c r="W343" s="3" t="s">
        <v>3789</v>
      </c>
      <c r="X343" s="3" t="s">
        <v>3790</v>
      </c>
      <c r="Y343" s="3" t="s">
        <v>3791</v>
      </c>
      <c r="Z343" s="8" t="s">
        <v>3792</v>
      </c>
    </row>
    <row r="344" customFormat="false" ht="26.85" hidden="false" customHeight="false" outlineLevel="0" collapsed="false">
      <c r="A344" s="7" t="s">
        <v>3793</v>
      </c>
      <c r="B344" s="7" t="s">
        <v>3784</v>
      </c>
      <c r="C344" s="7"/>
      <c r="D344" s="7" t="n">
        <v>2025</v>
      </c>
      <c r="E344" s="3" t="s">
        <v>3794</v>
      </c>
      <c r="F344" s="7" t="s">
        <v>85</v>
      </c>
      <c r="G344" s="3" t="s">
        <v>86</v>
      </c>
      <c r="H344" s="7" t="s">
        <v>100</v>
      </c>
      <c r="I344" s="7" t="s">
        <v>3795</v>
      </c>
      <c r="J344" s="7" t="s">
        <v>3796</v>
      </c>
      <c r="K344" s="7" t="s">
        <v>103</v>
      </c>
      <c r="L344" s="3"/>
      <c r="M344" s="3" t="s">
        <v>3797</v>
      </c>
      <c r="N344" s="3"/>
      <c r="O344" s="3" t="s">
        <v>3798</v>
      </c>
      <c r="P344" s="3"/>
      <c r="Q344" s="7"/>
      <c r="R344" s="7"/>
      <c r="S344" s="3"/>
      <c r="T344" s="3" t="s">
        <v>3799</v>
      </c>
      <c r="U344" s="7"/>
      <c r="V344" s="3" t="s">
        <v>85</v>
      </c>
      <c r="W344" s="3" t="s">
        <v>3800</v>
      </c>
      <c r="X344" s="3" t="s">
        <v>3801</v>
      </c>
      <c r="Y344" s="3" t="s">
        <v>3802</v>
      </c>
      <c r="Z344" s="8" t="s">
        <v>3803</v>
      </c>
    </row>
    <row r="345" customFormat="false" ht="39.55" hidden="false" customHeight="false" outlineLevel="0" collapsed="false">
      <c r="A345" s="7" t="s">
        <v>3804</v>
      </c>
      <c r="B345" s="7" t="s">
        <v>3805</v>
      </c>
      <c r="C345" s="7"/>
      <c r="D345" s="7" t="n">
        <v>2025</v>
      </c>
      <c r="E345" s="3" t="s">
        <v>3806</v>
      </c>
      <c r="F345" s="7" t="s">
        <v>123</v>
      </c>
      <c r="G345" s="3" t="s">
        <v>124</v>
      </c>
      <c r="H345" s="7" t="s">
        <v>100</v>
      </c>
      <c r="I345" s="7" t="s">
        <v>101</v>
      </c>
      <c r="J345" s="7" t="s">
        <v>102</v>
      </c>
      <c r="K345" s="7" t="s">
        <v>103</v>
      </c>
      <c r="L345" s="3" t="s">
        <v>3807</v>
      </c>
      <c r="M345" s="3" t="s">
        <v>3808</v>
      </c>
      <c r="N345" s="3" t="s">
        <v>3809</v>
      </c>
      <c r="O345" s="3"/>
      <c r="P345" s="3" t="s">
        <v>3547</v>
      </c>
      <c r="Q345" s="7" t="s">
        <v>3548</v>
      </c>
      <c r="R345" s="7" t="n">
        <v>20</v>
      </c>
      <c r="S345" s="3" t="s">
        <v>3549</v>
      </c>
      <c r="T345" s="3" t="s">
        <v>3810</v>
      </c>
      <c r="U345" s="7"/>
      <c r="V345" s="3" t="s">
        <v>123</v>
      </c>
      <c r="W345" s="3" t="s">
        <v>3811</v>
      </c>
      <c r="X345" s="3" t="s">
        <v>3812</v>
      </c>
      <c r="Y345" s="3" t="s">
        <v>3813</v>
      </c>
      <c r="Z345" s="8" t="s">
        <v>3814</v>
      </c>
    </row>
    <row r="346" customFormat="false" ht="26.85" hidden="false" customHeight="false" outlineLevel="0" collapsed="false">
      <c r="A346" s="7" t="s">
        <v>3815</v>
      </c>
      <c r="B346" s="7" t="s">
        <v>3805</v>
      </c>
      <c r="C346" s="7"/>
      <c r="D346" s="7" t="n">
        <v>2025</v>
      </c>
      <c r="E346" s="3" t="s">
        <v>3816</v>
      </c>
      <c r="F346" s="7" t="s">
        <v>140</v>
      </c>
      <c r="G346" s="3" t="s">
        <v>141</v>
      </c>
      <c r="H346" s="7" t="s">
        <v>87</v>
      </c>
      <c r="I346" s="7" t="s">
        <v>1488</v>
      </c>
      <c r="J346" s="7" t="s">
        <v>1489</v>
      </c>
      <c r="K346" s="7" t="s">
        <v>274</v>
      </c>
      <c r="L346" s="3" t="s">
        <v>3642</v>
      </c>
      <c r="M346" s="3" t="s">
        <v>3817</v>
      </c>
      <c r="N346" s="3"/>
      <c r="O346" s="3" t="s">
        <v>3818</v>
      </c>
      <c r="P346" s="3"/>
      <c r="Q346" s="7"/>
      <c r="R346" s="7"/>
      <c r="S346" s="3"/>
      <c r="T346" s="3" t="s">
        <v>3819</v>
      </c>
      <c r="U346" s="7"/>
      <c r="V346" s="3" t="s">
        <v>140</v>
      </c>
      <c r="W346" s="3" t="s">
        <v>3820</v>
      </c>
      <c r="X346" s="3" t="s">
        <v>3821</v>
      </c>
      <c r="Y346" s="3" t="s">
        <v>3822</v>
      </c>
      <c r="Z346" s="8" t="s">
        <v>3823</v>
      </c>
    </row>
    <row r="347" customFormat="false" ht="26.85" hidden="false" customHeight="false" outlineLevel="0" collapsed="false">
      <c r="A347" s="7" t="s">
        <v>3824</v>
      </c>
      <c r="B347" s="7" t="s">
        <v>3548</v>
      </c>
      <c r="C347" s="7"/>
      <c r="D347" s="7" t="n">
        <v>2025</v>
      </c>
      <c r="E347" s="3" t="s">
        <v>3825</v>
      </c>
      <c r="F347" s="7" t="s">
        <v>140</v>
      </c>
      <c r="G347" s="3" t="s">
        <v>141</v>
      </c>
      <c r="H347" s="7" t="s">
        <v>87</v>
      </c>
      <c r="I347" s="7" t="s">
        <v>3826</v>
      </c>
      <c r="J347" s="7" t="s">
        <v>3827</v>
      </c>
      <c r="K347" s="7" t="s">
        <v>90</v>
      </c>
      <c r="L347" s="3" t="s">
        <v>3828</v>
      </c>
      <c r="M347" s="3" t="s">
        <v>3829</v>
      </c>
      <c r="N347" s="3"/>
      <c r="O347" s="3"/>
      <c r="P347" s="3"/>
      <c r="Q347" s="7"/>
      <c r="R347" s="7"/>
      <c r="S347" s="3"/>
      <c r="T347" s="3" t="s">
        <v>3830</v>
      </c>
      <c r="U347" s="7"/>
      <c r="V347" s="3" t="s">
        <v>140</v>
      </c>
      <c r="W347" s="3" t="s">
        <v>3831</v>
      </c>
      <c r="X347" s="3" t="s">
        <v>3832</v>
      </c>
      <c r="Y347" s="3" t="s">
        <v>3833</v>
      </c>
      <c r="Z347" s="8" t="s">
        <v>3834</v>
      </c>
    </row>
    <row r="348" customFormat="false" ht="26.85" hidden="false" customHeight="false" outlineLevel="0" collapsed="false">
      <c r="A348" s="7" t="s">
        <v>3835</v>
      </c>
      <c r="B348" s="7" t="s">
        <v>3548</v>
      </c>
      <c r="C348" s="7"/>
      <c r="D348" s="7" t="n">
        <v>2025</v>
      </c>
      <c r="E348" s="3" t="s">
        <v>3836</v>
      </c>
      <c r="F348" s="7" t="s">
        <v>123</v>
      </c>
      <c r="G348" s="3" t="s">
        <v>124</v>
      </c>
      <c r="H348" s="7" t="s">
        <v>100</v>
      </c>
      <c r="I348" s="7" t="s">
        <v>478</v>
      </c>
      <c r="J348" s="7" t="s">
        <v>479</v>
      </c>
      <c r="K348" s="7" t="s">
        <v>103</v>
      </c>
      <c r="L348" s="3" t="s">
        <v>1535</v>
      </c>
      <c r="M348" s="3" t="s">
        <v>3837</v>
      </c>
      <c r="N348" s="3" t="s">
        <v>3838</v>
      </c>
      <c r="O348" s="3" t="s">
        <v>3839</v>
      </c>
      <c r="P348" s="3" t="s">
        <v>3840</v>
      </c>
      <c r="Q348" s="7" t="s">
        <v>3841</v>
      </c>
      <c r="R348" s="7" t="n">
        <v>255</v>
      </c>
      <c r="S348" s="3" t="s">
        <v>3842</v>
      </c>
      <c r="T348" s="3" t="s">
        <v>3843</v>
      </c>
      <c r="U348" s="7"/>
      <c r="V348" s="3" t="s">
        <v>296</v>
      </c>
      <c r="W348" s="3" t="s">
        <v>3844</v>
      </c>
      <c r="X348" s="3" t="s">
        <v>3845</v>
      </c>
      <c r="Y348" s="3" t="s">
        <v>3846</v>
      </c>
      <c r="Z348" s="8" t="s">
        <v>3847</v>
      </c>
    </row>
    <row r="349" customFormat="false" ht="26.85" hidden="false" customHeight="false" outlineLevel="0" collapsed="false">
      <c r="A349" s="7" t="s">
        <v>3848</v>
      </c>
      <c r="B349" s="7" t="s">
        <v>3548</v>
      </c>
      <c r="C349" s="7"/>
      <c r="D349" s="7" t="n">
        <v>2025</v>
      </c>
      <c r="E349" s="3" t="s">
        <v>3849</v>
      </c>
      <c r="F349" s="7" t="s">
        <v>123</v>
      </c>
      <c r="G349" s="3" t="s">
        <v>124</v>
      </c>
      <c r="H349" s="7" t="s">
        <v>100</v>
      </c>
      <c r="I349" s="7" t="s">
        <v>101</v>
      </c>
      <c r="J349" s="7" t="s">
        <v>102</v>
      </c>
      <c r="K349" s="7" t="s">
        <v>103</v>
      </c>
      <c r="L349" s="3" t="s">
        <v>2339</v>
      </c>
      <c r="M349" s="3" t="s">
        <v>3850</v>
      </c>
      <c r="N349" s="3"/>
      <c r="O349" s="3" t="s">
        <v>3851</v>
      </c>
      <c r="P349" s="3" t="s">
        <v>3547</v>
      </c>
      <c r="Q349" s="7" t="s">
        <v>3548</v>
      </c>
      <c r="R349" s="7" t="n">
        <v>4</v>
      </c>
      <c r="S349" s="3" t="s">
        <v>3549</v>
      </c>
      <c r="T349" s="3" t="s">
        <v>3852</v>
      </c>
      <c r="U349" s="7"/>
      <c r="V349" s="3" t="s">
        <v>123</v>
      </c>
      <c r="W349" s="3" t="s">
        <v>3853</v>
      </c>
      <c r="X349" s="3" t="s">
        <v>3854</v>
      </c>
      <c r="Y349" s="3" t="s">
        <v>3855</v>
      </c>
      <c r="Z349" s="8" t="s">
        <v>3856</v>
      </c>
    </row>
    <row r="350" customFormat="false" ht="26.85" hidden="false" customHeight="false" outlineLevel="0" collapsed="false">
      <c r="A350" s="7" t="s">
        <v>3857</v>
      </c>
      <c r="B350" s="7" t="s">
        <v>3858</v>
      </c>
      <c r="C350" s="7"/>
      <c r="D350" s="7" t="n">
        <v>2025</v>
      </c>
      <c r="E350" s="3" t="s">
        <v>3859</v>
      </c>
      <c r="F350" s="7" t="s">
        <v>140</v>
      </c>
      <c r="G350" s="3" t="s">
        <v>141</v>
      </c>
      <c r="H350" s="7" t="s">
        <v>87</v>
      </c>
      <c r="I350" s="7" t="s">
        <v>751</v>
      </c>
      <c r="J350" s="7" t="s">
        <v>752</v>
      </c>
      <c r="K350" s="7" t="s">
        <v>90</v>
      </c>
      <c r="L350" s="3" t="s">
        <v>3860</v>
      </c>
      <c r="M350" s="3" t="s">
        <v>3861</v>
      </c>
      <c r="N350" s="3" t="s">
        <v>3862</v>
      </c>
      <c r="O350" s="3" t="s">
        <v>3863</v>
      </c>
      <c r="P350" s="3"/>
      <c r="Q350" s="7"/>
      <c r="R350" s="7"/>
      <c r="S350" s="3"/>
      <c r="T350" s="3" t="s">
        <v>3864</v>
      </c>
      <c r="U350" s="7"/>
      <c r="V350" s="3" t="s">
        <v>140</v>
      </c>
      <c r="W350" s="3" t="s">
        <v>3865</v>
      </c>
      <c r="X350" s="3" t="s">
        <v>3866</v>
      </c>
      <c r="Y350" s="3" t="s">
        <v>3867</v>
      </c>
      <c r="Z350" s="8" t="s">
        <v>3868</v>
      </c>
    </row>
    <row r="351" customFormat="false" ht="26.85" hidden="false" customHeight="false" outlineLevel="0" collapsed="false">
      <c r="A351" s="7" t="s">
        <v>3869</v>
      </c>
      <c r="B351" s="7" t="s">
        <v>3858</v>
      </c>
      <c r="C351" s="7"/>
      <c r="D351" s="7" t="n">
        <v>2025</v>
      </c>
      <c r="E351" s="3" t="s">
        <v>3870</v>
      </c>
      <c r="F351" s="7" t="s">
        <v>85</v>
      </c>
      <c r="G351" s="3" t="s">
        <v>86</v>
      </c>
      <c r="H351" s="7" t="s">
        <v>100</v>
      </c>
      <c r="I351" s="7" t="s">
        <v>101</v>
      </c>
      <c r="J351" s="7" t="s">
        <v>102</v>
      </c>
      <c r="K351" s="7" t="s">
        <v>103</v>
      </c>
      <c r="L351" s="3" t="s">
        <v>3331</v>
      </c>
      <c r="M351" s="3" t="s">
        <v>3871</v>
      </c>
      <c r="N351" s="3"/>
      <c r="O351" s="3"/>
      <c r="P351" s="3"/>
      <c r="Q351" s="7"/>
      <c r="R351" s="7"/>
      <c r="S351" s="3"/>
      <c r="T351" s="3" t="s">
        <v>3872</v>
      </c>
      <c r="U351" s="7"/>
      <c r="V351" s="3" t="s">
        <v>85</v>
      </c>
      <c r="W351" s="3" t="s">
        <v>3873</v>
      </c>
      <c r="X351" s="3" t="s">
        <v>3874</v>
      </c>
      <c r="Y351" s="3" t="s">
        <v>3875</v>
      </c>
      <c r="Z351" s="8" t="s">
        <v>3876</v>
      </c>
    </row>
    <row r="352" customFormat="false" ht="26.85" hidden="false" customHeight="false" outlineLevel="0" collapsed="false">
      <c r="A352" s="7" t="s">
        <v>3877</v>
      </c>
      <c r="B352" s="7" t="s">
        <v>3858</v>
      </c>
      <c r="C352" s="7"/>
      <c r="D352" s="7" t="n">
        <v>2025</v>
      </c>
      <c r="E352" s="3" t="s">
        <v>3878</v>
      </c>
      <c r="F352" s="7" t="s">
        <v>140</v>
      </c>
      <c r="G352" s="3" t="s">
        <v>141</v>
      </c>
      <c r="H352" s="7" t="s">
        <v>87</v>
      </c>
      <c r="I352" s="7" t="s">
        <v>1533</v>
      </c>
      <c r="J352" s="7" t="s">
        <v>1534</v>
      </c>
      <c r="K352" s="7" t="s">
        <v>1544</v>
      </c>
      <c r="L352" s="3" t="s">
        <v>3879</v>
      </c>
      <c r="M352" s="3" t="s">
        <v>3880</v>
      </c>
      <c r="N352" s="3"/>
      <c r="O352" s="3"/>
      <c r="P352" s="3"/>
      <c r="Q352" s="7"/>
      <c r="R352" s="7"/>
      <c r="S352" s="3"/>
      <c r="T352" s="3" t="s">
        <v>3881</v>
      </c>
      <c r="U352" s="7"/>
      <c r="V352" s="3" t="s">
        <v>140</v>
      </c>
      <c r="W352" s="3" t="s">
        <v>3882</v>
      </c>
      <c r="X352" s="3" t="s">
        <v>3883</v>
      </c>
      <c r="Y352" s="3" t="s">
        <v>3884</v>
      </c>
      <c r="Z352" s="8" t="s">
        <v>3885</v>
      </c>
    </row>
    <row r="353" customFormat="false" ht="26.85" hidden="false" customHeight="false" outlineLevel="0" collapsed="false">
      <c r="A353" s="7" t="s">
        <v>3886</v>
      </c>
      <c r="B353" s="7" t="s">
        <v>3858</v>
      </c>
      <c r="C353" s="7"/>
      <c r="D353" s="7" t="n">
        <v>2025</v>
      </c>
      <c r="E353" s="3" t="s">
        <v>3887</v>
      </c>
      <c r="F353" s="7" t="s">
        <v>140</v>
      </c>
      <c r="G353" s="3" t="s">
        <v>141</v>
      </c>
      <c r="H353" s="7" t="s">
        <v>87</v>
      </c>
      <c r="I353" s="7" t="s">
        <v>1533</v>
      </c>
      <c r="J353" s="7" t="s">
        <v>1534</v>
      </c>
      <c r="K353" s="7" t="s">
        <v>1544</v>
      </c>
      <c r="L353" s="3" t="s">
        <v>1545</v>
      </c>
      <c r="M353" s="3" t="s">
        <v>3888</v>
      </c>
      <c r="N353" s="3" t="s">
        <v>3889</v>
      </c>
      <c r="O353" s="3"/>
      <c r="P353" s="3"/>
      <c r="Q353" s="7"/>
      <c r="R353" s="7"/>
      <c r="S353" s="3"/>
      <c r="T353" s="3" t="s">
        <v>3890</v>
      </c>
      <c r="U353" s="7"/>
      <c r="V353" s="3" t="s">
        <v>140</v>
      </c>
      <c r="W353" s="3" t="s">
        <v>3891</v>
      </c>
      <c r="X353" s="3" t="s">
        <v>3892</v>
      </c>
      <c r="Y353" s="3" t="s">
        <v>3893</v>
      </c>
      <c r="Z353" s="8" t="s">
        <v>3894</v>
      </c>
    </row>
    <row r="354" customFormat="false" ht="26.85" hidden="false" customHeight="false" outlineLevel="0" collapsed="false">
      <c r="A354" s="7" t="s">
        <v>3895</v>
      </c>
      <c r="B354" s="7" t="s">
        <v>3896</v>
      </c>
      <c r="C354" s="7"/>
      <c r="D354" s="7" t="n">
        <v>2025</v>
      </c>
      <c r="E354" s="3" t="s">
        <v>3897</v>
      </c>
      <c r="F354" s="7" t="s">
        <v>140</v>
      </c>
      <c r="G354" s="3" t="s">
        <v>141</v>
      </c>
      <c r="H354" s="7" t="s">
        <v>87</v>
      </c>
      <c r="I354" s="7" t="s">
        <v>225</v>
      </c>
      <c r="J354" s="7" t="s">
        <v>226</v>
      </c>
      <c r="K354" s="7" t="s">
        <v>227</v>
      </c>
      <c r="L354" s="3" t="s">
        <v>368</v>
      </c>
      <c r="M354" s="3" t="s">
        <v>3898</v>
      </c>
      <c r="N354" s="3" t="s">
        <v>3899</v>
      </c>
      <c r="O354" s="3" t="s">
        <v>3900</v>
      </c>
      <c r="P354" s="3"/>
      <c r="Q354" s="7"/>
      <c r="R354" s="7"/>
      <c r="S354" s="3"/>
      <c r="T354" s="3" t="s">
        <v>3901</v>
      </c>
      <c r="U354" s="7"/>
      <c r="V354" s="3" t="s">
        <v>296</v>
      </c>
      <c r="W354" s="3" t="s">
        <v>3902</v>
      </c>
      <c r="X354" s="3" t="s">
        <v>3903</v>
      </c>
      <c r="Y354" s="3" t="s">
        <v>3904</v>
      </c>
      <c r="Z354" s="8" t="s">
        <v>3905</v>
      </c>
    </row>
    <row r="355" customFormat="false" ht="26.85" hidden="false" customHeight="false" outlineLevel="0" collapsed="false">
      <c r="A355" s="7" t="s">
        <v>3906</v>
      </c>
      <c r="B355" s="7" t="s">
        <v>3896</v>
      </c>
      <c r="C355" s="7"/>
      <c r="D355" s="7" t="n">
        <v>2025</v>
      </c>
      <c r="E355" s="3" t="s">
        <v>3907</v>
      </c>
      <c r="F355" s="7" t="s">
        <v>123</v>
      </c>
      <c r="G355" s="3" t="s">
        <v>124</v>
      </c>
      <c r="H355" s="7" t="s">
        <v>87</v>
      </c>
      <c r="I355" s="7" t="s">
        <v>478</v>
      </c>
      <c r="J355" s="7" t="s">
        <v>479</v>
      </c>
      <c r="K355" s="7" t="s">
        <v>634</v>
      </c>
      <c r="L355" s="3" t="s">
        <v>635</v>
      </c>
      <c r="M355" s="3" t="s">
        <v>3908</v>
      </c>
      <c r="N355" s="3" t="s">
        <v>3909</v>
      </c>
      <c r="O355" s="3" t="s">
        <v>3910</v>
      </c>
      <c r="P355" s="3" t="s">
        <v>3840</v>
      </c>
      <c r="Q355" s="7" t="s">
        <v>3841</v>
      </c>
      <c r="R355" s="7" t="n">
        <v>138</v>
      </c>
      <c r="S355" s="3" t="s">
        <v>3842</v>
      </c>
      <c r="T355" s="3" t="s">
        <v>3911</v>
      </c>
      <c r="U355" s="7"/>
      <c r="V355" s="3" t="s">
        <v>296</v>
      </c>
      <c r="W355" s="3" t="s">
        <v>3912</v>
      </c>
      <c r="X355" s="3" t="s">
        <v>3913</v>
      </c>
      <c r="Y355" s="3" t="s">
        <v>3914</v>
      </c>
      <c r="Z355" s="8" t="s">
        <v>3915</v>
      </c>
    </row>
    <row r="356" customFormat="false" ht="39.55" hidden="false" customHeight="false" outlineLevel="0" collapsed="false">
      <c r="A356" s="7" t="s">
        <v>3916</v>
      </c>
      <c r="B356" s="7" t="s">
        <v>3896</v>
      </c>
      <c r="C356" s="7"/>
      <c r="D356" s="7" t="n">
        <v>2025</v>
      </c>
      <c r="E356" s="3" t="s">
        <v>3917</v>
      </c>
      <c r="F356" s="7" t="s">
        <v>85</v>
      </c>
      <c r="G356" s="3" t="s">
        <v>86</v>
      </c>
      <c r="H356" s="7" t="s">
        <v>100</v>
      </c>
      <c r="I356" s="7" t="s">
        <v>1233</v>
      </c>
      <c r="J356" s="7" t="s">
        <v>1234</v>
      </c>
      <c r="K356" s="7" t="s">
        <v>103</v>
      </c>
      <c r="L356" s="3" t="s">
        <v>3775</v>
      </c>
      <c r="M356" s="3" t="s">
        <v>3918</v>
      </c>
      <c r="N356" s="3"/>
      <c r="O356" s="3"/>
      <c r="P356" s="3"/>
      <c r="Q356" s="7"/>
      <c r="R356" s="7"/>
      <c r="S356" s="3"/>
      <c r="T356" s="3" t="s">
        <v>3919</v>
      </c>
      <c r="U356" s="7"/>
      <c r="V356" s="3" t="s">
        <v>85</v>
      </c>
      <c r="W356" s="3" t="s">
        <v>3920</v>
      </c>
      <c r="X356" s="3" t="s">
        <v>3921</v>
      </c>
      <c r="Y356" s="3" t="s">
        <v>3922</v>
      </c>
      <c r="Z356" s="8" t="s">
        <v>3923</v>
      </c>
    </row>
    <row r="357" customFormat="false" ht="26.85" hidden="false" customHeight="false" outlineLevel="0" collapsed="false">
      <c r="A357" s="7" t="s">
        <v>3924</v>
      </c>
      <c r="B357" s="7" t="s">
        <v>3925</v>
      </c>
      <c r="C357" s="7"/>
      <c r="D357" s="7" t="n">
        <v>2025</v>
      </c>
      <c r="E357" s="3" t="s">
        <v>3926</v>
      </c>
      <c r="F357" s="7" t="s">
        <v>123</v>
      </c>
      <c r="G357" s="3" t="s">
        <v>124</v>
      </c>
      <c r="H357" s="7" t="s">
        <v>87</v>
      </c>
      <c r="I357" s="7" t="s">
        <v>478</v>
      </c>
      <c r="J357" s="7" t="s">
        <v>479</v>
      </c>
      <c r="K357" s="7" t="s">
        <v>634</v>
      </c>
      <c r="L357" s="3" t="s">
        <v>635</v>
      </c>
      <c r="M357" s="3" t="s">
        <v>3927</v>
      </c>
      <c r="N357" s="3" t="s">
        <v>3928</v>
      </c>
      <c r="O357" s="3"/>
      <c r="P357" s="3" t="s">
        <v>3840</v>
      </c>
      <c r="Q357" s="7" t="s">
        <v>3841</v>
      </c>
      <c r="R357" s="7" t="n">
        <v>112</v>
      </c>
      <c r="S357" s="3" t="s">
        <v>3929</v>
      </c>
      <c r="T357" s="3" t="s">
        <v>3930</v>
      </c>
      <c r="U357" s="7"/>
      <c r="V357" s="3" t="s">
        <v>296</v>
      </c>
      <c r="W357" s="3" t="s">
        <v>3931</v>
      </c>
      <c r="X357" s="3" t="s">
        <v>3932</v>
      </c>
      <c r="Y357" s="3" t="s">
        <v>3933</v>
      </c>
      <c r="Z357" s="8" t="s">
        <v>3934</v>
      </c>
    </row>
    <row r="358" customFormat="false" ht="26.85" hidden="false" customHeight="false" outlineLevel="0" collapsed="false">
      <c r="A358" s="7" t="s">
        <v>3935</v>
      </c>
      <c r="B358" s="7" t="s">
        <v>3925</v>
      </c>
      <c r="C358" s="7"/>
      <c r="D358" s="7" t="n">
        <v>2025</v>
      </c>
      <c r="E358" s="3" t="s">
        <v>3936</v>
      </c>
      <c r="F358" s="7" t="s">
        <v>140</v>
      </c>
      <c r="G358" s="3" t="s">
        <v>141</v>
      </c>
      <c r="H358" s="7" t="s">
        <v>87</v>
      </c>
      <c r="I358" s="7" t="s">
        <v>304</v>
      </c>
      <c r="J358" s="7" t="s">
        <v>305</v>
      </c>
      <c r="K358" s="7" t="s">
        <v>1746</v>
      </c>
      <c r="L358" s="3" t="s">
        <v>3937</v>
      </c>
      <c r="M358" s="3" t="s">
        <v>3938</v>
      </c>
      <c r="N358" s="3"/>
      <c r="O358" s="3" t="s">
        <v>3939</v>
      </c>
      <c r="P358" s="3"/>
      <c r="Q358" s="7"/>
      <c r="R358" s="7"/>
      <c r="S358" s="3"/>
      <c r="T358" s="3" t="s">
        <v>3940</v>
      </c>
      <c r="U358" s="7"/>
      <c r="V358" s="3" t="s">
        <v>140</v>
      </c>
      <c r="W358" s="3" t="s">
        <v>3941</v>
      </c>
      <c r="X358" s="3" t="s">
        <v>3942</v>
      </c>
      <c r="Y358" s="3" t="s">
        <v>3943</v>
      </c>
      <c r="Z358" s="8" t="s">
        <v>3944</v>
      </c>
    </row>
    <row r="359" customFormat="false" ht="26.85" hidden="false" customHeight="false" outlineLevel="0" collapsed="false">
      <c r="A359" s="7" t="s">
        <v>3945</v>
      </c>
      <c r="B359" s="7" t="s">
        <v>3946</v>
      </c>
      <c r="C359" s="7"/>
      <c r="D359" s="7" t="n">
        <v>2025</v>
      </c>
      <c r="E359" s="3" t="s">
        <v>3947</v>
      </c>
      <c r="F359" s="7" t="s">
        <v>140</v>
      </c>
      <c r="G359" s="3" t="s">
        <v>141</v>
      </c>
      <c r="H359" s="7" t="s">
        <v>87</v>
      </c>
      <c r="I359" s="7" t="s">
        <v>225</v>
      </c>
      <c r="J359" s="7" t="s">
        <v>226</v>
      </c>
      <c r="K359" s="7" t="s">
        <v>227</v>
      </c>
      <c r="L359" s="3" t="s">
        <v>368</v>
      </c>
      <c r="M359" s="3" t="s">
        <v>3948</v>
      </c>
      <c r="N359" s="3" t="s">
        <v>3949</v>
      </c>
      <c r="O359" s="3" t="s">
        <v>3950</v>
      </c>
      <c r="P359" s="3"/>
      <c r="Q359" s="7"/>
      <c r="R359" s="7"/>
      <c r="S359" s="3"/>
      <c r="T359" s="3" t="s">
        <v>3951</v>
      </c>
      <c r="U359" s="7"/>
      <c r="V359" s="3" t="s">
        <v>140</v>
      </c>
      <c r="W359" s="3" t="s">
        <v>3952</v>
      </c>
      <c r="X359" s="3" t="s">
        <v>3953</v>
      </c>
      <c r="Y359" s="3" t="s">
        <v>3954</v>
      </c>
      <c r="Z359" s="8" t="s">
        <v>3955</v>
      </c>
    </row>
    <row r="360" customFormat="false" ht="26.85" hidden="false" customHeight="false" outlineLevel="0" collapsed="false">
      <c r="A360" s="7" t="s">
        <v>3956</v>
      </c>
      <c r="B360" s="7" t="s">
        <v>3946</v>
      </c>
      <c r="C360" s="7"/>
      <c r="D360" s="7" t="n">
        <v>2025</v>
      </c>
      <c r="E360" s="3" t="s">
        <v>3957</v>
      </c>
      <c r="F360" s="7" t="s">
        <v>85</v>
      </c>
      <c r="G360" s="3" t="s">
        <v>86</v>
      </c>
      <c r="H360" s="7" t="s">
        <v>87</v>
      </c>
      <c r="I360" s="7" t="s">
        <v>478</v>
      </c>
      <c r="J360" s="7" t="s">
        <v>479</v>
      </c>
      <c r="K360" s="7" t="s">
        <v>634</v>
      </c>
      <c r="L360" s="3" t="s">
        <v>635</v>
      </c>
      <c r="M360" s="3" t="s">
        <v>3958</v>
      </c>
      <c r="N360" s="3" t="s">
        <v>3959</v>
      </c>
      <c r="O360" s="3" t="s">
        <v>3960</v>
      </c>
      <c r="P360" s="3" t="s">
        <v>3840</v>
      </c>
      <c r="Q360" s="7" t="s">
        <v>3841</v>
      </c>
      <c r="R360" s="7" t="n">
        <v>78</v>
      </c>
      <c r="S360" s="3" t="s">
        <v>3961</v>
      </c>
      <c r="T360" s="3" t="s">
        <v>3962</v>
      </c>
      <c r="U360" s="7"/>
      <c r="V360" s="3" t="s">
        <v>282</v>
      </c>
      <c r="W360" s="3" t="s">
        <v>3963</v>
      </c>
      <c r="X360" s="3" t="s">
        <v>3964</v>
      </c>
      <c r="Y360" s="3" t="s">
        <v>3965</v>
      </c>
      <c r="Z360" s="8" t="s">
        <v>3966</v>
      </c>
    </row>
    <row r="361" customFormat="false" ht="26.85" hidden="false" customHeight="false" outlineLevel="0" collapsed="false">
      <c r="A361" s="7" t="s">
        <v>3967</v>
      </c>
      <c r="B361" s="7" t="s">
        <v>3946</v>
      </c>
      <c r="C361" s="7"/>
      <c r="D361" s="7" t="n">
        <v>2025</v>
      </c>
      <c r="E361" s="3" t="s">
        <v>3968</v>
      </c>
      <c r="F361" s="7" t="s">
        <v>140</v>
      </c>
      <c r="G361" s="3" t="s">
        <v>141</v>
      </c>
      <c r="H361" s="7" t="s">
        <v>87</v>
      </c>
      <c r="I361" s="7" t="s">
        <v>331</v>
      </c>
      <c r="J361" s="7" t="s">
        <v>332</v>
      </c>
      <c r="K361" s="7" t="s">
        <v>680</v>
      </c>
      <c r="L361" s="3" t="s">
        <v>2741</v>
      </c>
      <c r="M361" s="3" t="s">
        <v>3969</v>
      </c>
      <c r="N361" s="3" t="s">
        <v>3970</v>
      </c>
      <c r="O361" s="3"/>
      <c r="P361" s="3"/>
      <c r="Q361" s="7"/>
      <c r="R361" s="7"/>
      <c r="S361" s="3"/>
      <c r="T361" s="3" t="s">
        <v>3971</v>
      </c>
      <c r="U361" s="7"/>
      <c r="V361" s="3" t="s">
        <v>140</v>
      </c>
      <c r="W361" s="3" t="s">
        <v>3972</v>
      </c>
      <c r="X361" s="3" t="s">
        <v>3973</v>
      </c>
      <c r="Y361" s="3" t="s">
        <v>3974</v>
      </c>
      <c r="Z361" s="8" t="s">
        <v>3975</v>
      </c>
    </row>
    <row r="362" customFormat="false" ht="39.55" hidden="false" customHeight="false" outlineLevel="0" collapsed="false">
      <c r="A362" s="7" t="s">
        <v>3976</v>
      </c>
      <c r="B362" s="7" t="s">
        <v>3977</v>
      </c>
      <c r="C362" s="7"/>
      <c r="D362" s="7" t="n">
        <v>2025</v>
      </c>
      <c r="E362" s="3" t="s">
        <v>3978</v>
      </c>
      <c r="F362" s="7" t="s">
        <v>123</v>
      </c>
      <c r="G362" s="3" t="s">
        <v>124</v>
      </c>
      <c r="H362" s="7" t="s">
        <v>87</v>
      </c>
      <c r="I362" s="7" t="s">
        <v>478</v>
      </c>
      <c r="J362" s="7" t="s">
        <v>479</v>
      </c>
      <c r="K362" s="7" t="s">
        <v>634</v>
      </c>
      <c r="L362" s="3" t="s">
        <v>3979</v>
      </c>
      <c r="M362" s="3" t="s">
        <v>3980</v>
      </c>
      <c r="N362" s="3" t="s">
        <v>3981</v>
      </c>
      <c r="O362" s="3" t="s">
        <v>3982</v>
      </c>
      <c r="P362" s="3" t="s">
        <v>3840</v>
      </c>
      <c r="Q362" s="7" t="s">
        <v>3841</v>
      </c>
      <c r="R362" s="7" t="n">
        <v>41</v>
      </c>
      <c r="S362" s="3" t="s">
        <v>3842</v>
      </c>
      <c r="T362" s="3" t="s">
        <v>3983</v>
      </c>
      <c r="U362" s="7"/>
      <c r="V362" s="3" t="s">
        <v>296</v>
      </c>
      <c r="W362" s="3" t="s">
        <v>3984</v>
      </c>
      <c r="X362" s="3" t="s">
        <v>3985</v>
      </c>
      <c r="Y362" s="3" t="s">
        <v>3986</v>
      </c>
      <c r="Z362" s="8" t="s">
        <v>3987</v>
      </c>
    </row>
    <row r="363" customFormat="false" ht="39.55" hidden="false" customHeight="false" outlineLevel="0" collapsed="false">
      <c r="A363" s="7" t="s">
        <v>3988</v>
      </c>
      <c r="B363" s="7" t="s">
        <v>3977</v>
      </c>
      <c r="C363" s="7"/>
      <c r="D363" s="7" t="n">
        <v>2025</v>
      </c>
      <c r="E363" s="3" t="s">
        <v>3989</v>
      </c>
      <c r="F363" s="7" t="s">
        <v>123</v>
      </c>
      <c r="G363" s="3" t="s">
        <v>124</v>
      </c>
      <c r="H363" s="7" t="s">
        <v>87</v>
      </c>
      <c r="I363" s="7" t="s">
        <v>478</v>
      </c>
      <c r="J363" s="7" t="s">
        <v>479</v>
      </c>
      <c r="K363" s="7" t="s">
        <v>634</v>
      </c>
      <c r="L363" s="3" t="s">
        <v>635</v>
      </c>
      <c r="M363" s="3" t="s">
        <v>3990</v>
      </c>
      <c r="N363" s="3"/>
      <c r="O363" s="3"/>
      <c r="P363" s="3" t="s">
        <v>3840</v>
      </c>
      <c r="Q363" s="7" t="s">
        <v>3841</v>
      </c>
      <c r="R363" s="7" t="n">
        <v>51</v>
      </c>
      <c r="S363" s="3" t="s">
        <v>3842</v>
      </c>
      <c r="T363" s="3" t="s">
        <v>3991</v>
      </c>
      <c r="U363" s="7"/>
      <c r="V363" s="3" t="s">
        <v>296</v>
      </c>
      <c r="W363" s="3" t="s">
        <v>3992</v>
      </c>
      <c r="X363" s="3" t="s">
        <v>3993</v>
      </c>
      <c r="Y363" s="3" t="s">
        <v>3994</v>
      </c>
      <c r="Z363" s="8" t="s">
        <v>3995</v>
      </c>
    </row>
    <row r="364" customFormat="false" ht="26.85" hidden="false" customHeight="false" outlineLevel="0" collapsed="false">
      <c r="A364" s="7" t="s">
        <v>3996</v>
      </c>
      <c r="B364" s="7" t="s">
        <v>3977</v>
      </c>
      <c r="C364" s="7"/>
      <c r="D364" s="7" t="n">
        <v>2025</v>
      </c>
      <c r="E364" s="3" t="s">
        <v>3997</v>
      </c>
      <c r="F364" s="7" t="s">
        <v>140</v>
      </c>
      <c r="G364" s="3" t="s">
        <v>141</v>
      </c>
      <c r="H364" s="7" t="s">
        <v>87</v>
      </c>
      <c r="I364" s="7" t="s">
        <v>290</v>
      </c>
      <c r="J364" s="7" t="s">
        <v>291</v>
      </c>
      <c r="K364" s="7" t="s">
        <v>90</v>
      </c>
      <c r="L364" s="3" t="s">
        <v>3654</v>
      </c>
      <c r="M364" s="3" t="s">
        <v>3998</v>
      </c>
      <c r="N364" s="3" t="s">
        <v>3999</v>
      </c>
      <c r="O364" s="3" t="s">
        <v>4000</v>
      </c>
      <c r="P364" s="3"/>
      <c r="Q364" s="7"/>
      <c r="R364" s="7"/>
      <c r="S364" s="3"/>
      <c r="T364" s="3" t="s">
        <v>4001</v>
      </c>
      <c r="U364" s="7"/>
      <c r="V364" s="3" t="s">
        <v>140</v>
      </c>
      <c r="W364" s="3" t="s">
        <v>4002</v>
      </c>
      <c r="X364" s="3" t="s">
        <v>4003</v>
      </c>
      <c r="Y364" s="3" t="s">
        <v>4004</v>
      </c>
      <c r="Z364" s="8" t="s">
        <v>4005</v>
      </c>
    </row>
    <row r="365" customFormat="false" ht="26.85" hidden="false" customHeight="false" outlineLevel="0" collapsed="false">
      <c r="A365" s="7" t="s">
        <v>4006</v>
      </c>
      <c r="B365" s="7" t="s">
        <v>3977</v>
      </c>
      <c r="C365" s="7"/>
      <c r="D365" s="7" t="n">
        <v>2025</v>
      </c>
      <c r="E365" s="3" t="s">
        <v>4007</v>
      </c>
      <c r="F365" s="7" t="s">
        <v>123</v>
      </c>
      <c r="G365" s="3" t="s">
        <v>124</v>
      </c>
      <c r="H365" s="7" t="s">
        <v>100</v>
      </c>
      <c r="I365" s="7" t="s">
        <v>101</v>
      </c>
      <c r="J365" s="7" t="s">
        <v>102</v>
      </c>
      <c r="K365" s="7" t="s">
        <v>103</v>
      </c>
      <c r="L365" s="3" t="s">
        <v>2339</v>
      </c>
      <c r="M365" s="3" t="s">
        <v>4008</v>
      </c>
      <c r="N365" s="3"/>
      <c r="O365" s="3" t="s">
        <v>4009</v>
      </c>
      <c r="P365" s="3" t="s">
        <v>3840</v>
      </c>
      <c r="Q365" s="7" t="s">
        <v>3841</v>
      </c>
      <c r="R365" s="7" t="n">
        <v>45</v>
      </c>
      <c r="S365" s="3" t="s">
        <v>3842</v>
      </c>
      <c r="T365" s="3" t="s">
        <v>4010</v>
      </c>
      <c r="U365" s="7"/>
      <c r="V365" s="3" t="s">
        <v>123</v>
      </c>
      <c r="W365" s="3" t="s">
        <v>4011</v>
      </c>
      <c r="X365" s="3" t="s">
        <v>4012</v>
      </c>
      <c r="Y365" s="3" t="s">
        <v>4013</v>
      </c>
      <c r="Z365" s="8" t="s">
        <v>4014</v>
      </c>
    </row>
    <row r="366" customFormat="false" ht="26.85" hidden="false" customHeight="false" outlineLevel="0" collapsed="false">
      <c r="A366" s="7" t="s">
        <v>4015</v>
      </c>
      <c r="B366" s="7" t="s">
        <v>3977</v>
      </c>
      <c r="C366" s="7"/>
      <c r="D366" s="7" t="n">
        <v>2025</v>
      </c>
      <c r="E366" s="3" t="s">
        <v>4016</v>
      </c>
      <c r="F366" s="7" t="s">
        <v>85</v>
      </c>
      <c r="G366" s="3" t="s">
        <v>86</v>
      </c>
      <c r="H366" s="7" t="s">
        <v>87</v>
      </c>
      <c r="I366" s="7" t="s">
        <v>304</v>
      </c>
      <c r="J366" s="7" t="s">
        <v>305</v>
      </c>
      <c r="K366" s="7" t="s">
        <v>1746</v>
      </c>
      <c r="L366" s="3" t="s">
        <v>3937</v>
      </c>
      <c r="M366" s="3" t="s">
        <v>4017</v>
      </c>
      <c r="N366" s="3" t="s">
        <v>4018</v>
      </c>
      <c r="O366" s="3"/>
      <c r="P366" s="3"/>
      <c r="Q366" s="7"/>
      <c r="R366" s="7"/>
      <c r="S366" s="3"/>
      <c r="T366" s="3" t="s">
        <v>4019</v>
      </c>
      <c r="U366" s="7"/>
      <c r="V366" s="3" t="s">
        <v>85</v>
      </c>
      <c r="W366" s="3" t="s">
        <v>4020</v>
      </c>
      <c r="X366" s="3" t="s">
        <v>4021</v>
      </c>
      <c r="Y366" s="3" t="s">
        <v>4022</v>
      </c>
      <c r="Z366" s="8" t="s">
        <v>4023</v>
      </c>
    </row>
    <row r="367" customFormat="false" ht="26.85" hidden="false" customHeight="false" outlineLevel="0" collapsed="false">
      <c r="A367" s="7" t="s">
        <v>4024</v>
      </c>
      <c r="B367" s="7" t="s">
        <v>3977</v>
      </c>
      <c r="C367" s="7"/>
      <c r="D367" s="7" t="n">
        <v>2025</v>
      </c>
      <c r="E367" s="3" t="s">
        <v>4025</v>
      </c>
      <c r="F367" s="7" t="s">
        <v>85</v>
      </c>
      <c r="G367" s="3" t="s">
        <v>86</v>
      </c>
      <c r="H367" s="7" t="s">
        <v>100</v>
      </c>
      <c r="I367" s="7" t="s">
        <v>304</v>
      </c>
      <c r="J367" s="7" t="s">
        <v>305</v>
      </c>
      <c r="K367" s="7" t="s">
        <v>103</v>
      </c>
      <c r="L367" s="3" t="s">
        <v>1535</v>
      </c>
      <c r="M367" s="3" t="s">
        <v>4026</v>
      </c>
      <c r="N367" s="3"/>
      <c r="O367" s="3"/>
      <c r="P367" s="3"/>
      <c r="Q367" s="7"/>
      <c r="R367" s="7"/>
      <c r="S367" s="3"/>
      <c r="T367" s="3" t="s">
        <v>4027</v>
      </c>
      <c r="U367" s="7"/>
      <c r="V367" s="3" t="s">
        <v>85</v>
      </c>
      <c r="W367" s="3" t="s">
        <v>4028</v>
      </c>
      <c r="X367" s="3" t="s">
        <v>4029</v>
      </c>
      <c r="Y367" s="3" t="s">
        <v>4030</v>
      </c>
      <c r="Z367" s="8" t="s">
        <v>4031</v>
      </c>
    </row>
    <row r="368" customFormat="false" ht="26.85" hidden="false" customHeight="false" outlineLevel="0" collapsed="false">
      <c r="A368" s="7" t="s">
        <v>4032</v>
      </c>
      <c r="B368" s="7" t="s">
        <v>4033</v>
      </c>
      <c r="C368" s="7"/>
      <c r="D368" s="7" t="n">
        <v>2025</v>
      </c>
      <c r="E368" s="3" t="s">
        <v>4034</v>
      </c>
      <c r="F368" s="7" t="s">
        <v>123</v>
      </c>
      <c r="G368" s="3" t="s">
        <v>124</v>
      </c>
      <c r="H368" s="7" t="s">
        <v>87</v>
      </c>
      <c r="I368" s="7" t="s">
        <v>703</v>
      </c>
      <c r="J368" s="7" t="s">
        <v>704</v>
      </c>
      <c r="K368" s="7" t="s">
        <v>90</v>
      </c>
      <c r="L368" s="3" t="s">
        <v>2944</v>
      </c>
      <c r="M368" s="3" t="s">
        <v>4035</v>
      </c>
      <c r="N368" s="3" t="s">
        <v>4036</v>
      </c>
      <c r="O368" s="3"/>
      <c r="P368" s="3" t="s">
        <v>4037</v>
      </c>
      <c r="Q368" s="7" t="s">
        <v>4038</v>
      </c>
      <c r="R368" s="7"/>
      <c r="S368" s="3" t="s">
        <v>4039</v>
      </c>
      <c r="T368" s="3" t="s">
        <v>4040</v>
      </c>
      <c r="U368" s="7"/>
      <c r="V368" s="3" t="s">
        <v>296</v>
      </c>
      <c r="W368" s="3" t="s">
        <v>4041</v>
      </c>
      <c r="X368" s="3" t="s">
        <v>4042</v>
      </c>
      <c r="Y368" s="3" t="s">
        <v>4043</v>
      </c>
      <c r="Z368" s="8" t="s">
        <v>4044</v>
      </c>
    </row>
    <row r="369" customFormat="false" ht="26.85" hidden="false" customHeight="false" outlineLevel="0" collapsed="false">
      <c r="A369" s="7" t="s">
        <v>4045</v>
      </c>
      <c r="B369" s="7" t="s">
        <v>4033</v>
      </c>
      <c r="C369" s="7"/>
      <c r="D369" s="7" t="n">
        <v>2025</v>
      </c>
      <c r="E369" s="3" t="s">
        <v>4046</v>
      </c>
      <c r="F369" s="7" t="s">
        <v>123</v>
      </c>
      <c r="G369" s="3" t="s">
        <v>124</v>
      </c>
      <c r="H369" s="7" t="s">
        <v>87</v>
      </c>
      <c r="I369" s="7" t="s">
        <v>125</v>
      </c>
      <c r="J369" s="7" t="s">
        <v>126</v>
      </c>
      <c r="K369" s="7" t="s">
        <v>127</v>
      </c>
      <c r="L369" s="3" t="s">
        <v>4047</v>
      </c>
      <c r="M369" s="3" t="s">
        <v>4048</v>
      </c>
      <c r="N369" s="3"/>
      <c r="O369" s="3" t="s">
        <v>4049</v>
      </c>
      <c r="P369" s="3" t="s">
        <v>4050</v>
      </c>
      <c r="Q369" s="7" t="s">
        <v>4038</v>
      </c>
      <c r="R369" s="7" t="n">
        <v>162</v>
      </c>
      <c r="S369" s="3" t="s">
        <v>4051</v>
      </c>
      <c r="T369" s="3" t="s">
        <v>4052</v>
      </c>
      <c r="U369" s="7"/>
      <c r="V369" s="3" t="s">
        <v>296</v>
      </c>
      <c r="W369" s="3" t="s">
        <v>4053</v>
      </c>
      <c r="X369" s="3" t="s">
        <v>4054</v>
      </c>
      <c r="Y369" s="3" t="s">
        <v>4055</v>
      </c>
      <c r="Z369" s="8" t="s">
        <v>4056</v>
      </c>
    </row>
    <row r="370" customFormat="false" ht="26.85" hidden="false" customHeight="false" outlineLevel="0" collapsed="false">
      <c r="A370" s="7" t="s">
        <v>4057</v>
      </c>
      <c r="B370" s="7" t="s">
        <v>4033</v>
      </c>
      <c r="C370" s="7"/>
      <c r="D370" s="7" t="n">
        <v>2025</v>
      </c>
      <c r="E370" s="3" t="s">
        <v>4058</v>
      </c>
      <c r="F370" s="7" t="s">
        <v>123</v>
      </c>
      <c r="G370" s="3" t="s">
        <v>124</v>
      </c>
      <c r="H370" s="7" t="s">
        <v>87</v>
      </c>
      <c r="I370" s="7" t="s">
        <v>125</v>
      </c>
      <c r="J370" s="7" t="s">
        <v>126</v>
      </c>
      <c r="K370" s="7" t="s">
        <v>127</v>
      </c>
      <c r="L370" s="3" t="s">
        <v>2038</v>
      </c>
      <c r="M370" s="3" t="s">
        <v>4059</v>
      </c>
      <c r="N370" s="3" t="s">
        <v>4060</v>
      </c>
      <c r="O370" s="3" t="s">
        <v>4061</v>
      </c>
      <c r="P370" s="3" t="s">
        <v>4050</v>
      </c>
      <c r="Q370" s="7" t="s">
        <v>4038</v>
      </c>
      <c r="R370" s="7" t="n">
        <v>162</v>
      </c>
      <c r="S370" s="3" t="s">
        <v>4051</v>
      </c>
      <c r="T370" s="3" t="s">
        <v>4062</v>
      </c>
      <c r="U370" s="7"/>
      <c r="V370" s="3" t="s">
        <v>296</v>
      </c>
      <c r="W370" s="3" t="s">
        <v>4063</v>
      </c>
      <c r="X370" s="3" t="s">
        <v>4064</v>
      </c>
      <c r="Y370" s="3" t="s">
        <v>4065</v>
      </c>
      <c r="Z370" s="8" t="s">
        <v>4066</v>
      </c>
    </row>
    <row r="371" customFormat="false" ht="26.85" hidden="false" customHeight="false" outlineLevel="0" collapsed="false">
      <c r="A371" s="7" t="s">
        <v>4067</v>
      </c>
      <c r="B371" s="7" t="s">
        <v>3841</v>
      </c>
      <c r="C371" s="7"/>
      <c r="D371" s="7" t="n">
        <v>2025</v>
      </c>
      <c r="E371" s="3" t="s">
        <v>4068</v>
      </c>
      <c r="F371" s="7" t="s">
        <v>123</v>
      </c>
      <c r="G371" s="3" t="s">
        <v>124</v>
      </c>
      <c r="H371" s="7" t="s">
        <v>100</v>
      </c>
      <c r="I371" s="7" t="s">
        <v>331</v>
      </c>
      <c r="J371" s="7" t="s">
        <v>332</v>
      </c>
      <c r="K371" s="7" t="s">
        <v>103</v>
      </c>
      <c r="L371" s="3" t="s">
        <v>1535</v>
      </c>
      <c r="M371" s="3" t="s">
        <v>4069</v>
      </c>
      <c r="N371" s="3" t="s">
        <v>4070</v>
      </c>
      <c r="O371" s="3" t="s">
        <v>4071</v>
      </c>
      <c r="P371" s="3" t="s">
        <v>4072</v>
      </c>
      <c r="Q371" s="7" t="s">
        <v>4038</v>
      </c>
      <c r="R371" s="7" t="n">
        <v>155</v>
      </c>
      <c r="S371" s="3" t="s">
        <v>4073</v>
      </c>
      <c r="T371" s="3" t="s">
        <v>4074</v>
      </c>
      <c r="U371" s="7"/>
      <c r="V371" s="3" t="s">
        <v>296</v>
      </c>
      <c r="W371" s="3" t="s">
        <v>4075</v>
      </c>
      <c r="X371" s="3" t="s">
        <v>4076</v>
      </c>
      <c r="Y371" s="3" t="s">
        <v>4077</v>
      </c>
      <c r="Z371" s="8" t="s">
        <v>4078</v>
      </c>
    </row>
    <row r="372" customFormat="false" ht="39.55" hidden="false" customHeight="false" outlineLevel="0" collapsed="false">
      <c r="A372" s="7" t="s">
        <v>4079</v>
      </c>
      <c r="B372" s="7" t="s">
        <v>4080</v>
      </c>
      <c r="C372" s="7"/>
      <c r="D372" s="7" t="n">
        <v>2025</v>
      </c>
      <c r="E372" s="3" t="s">
        <v>4081</v>
      </c>
      <c r="F372" s="7" t="s">
        <v>140</v>
      </c>
      <c r="G372" s="3" t="s">
        <v>141</v>
      </c>
      <c r="H372" s="7" t="s">
        <v>100</v>
      </c>
      <c r="I372" s="7" t="s">
        <v>101</v>
      </c>
      <c r="J372" s="7" t="s">
        <v>102</v>
      </c>
      <c r="K372" s="7" t="s">
        <v>103</v>
      </c>
      <c r="L372" s="3" t="s">
        <v>4082</v>
      </c>
      <c r="M372" s="3" t="s">
        <v>4083</v>
      </c>
      <c r="N372" s="3"/>
      <c r="O372" s="3" t="s">
        <v>4084</v>
      </c>
      <c r="P372" s="3"/>
      <c r="Q372" s="7"/>
      <c r="R372" s="7"/>
      <c r="S372" s="3"/>
      <c r="T372" s="3" t="s">
        <v>4085</v>
      </c>
      <c r="U372" s="7"/>
      <c r="V372" s="3" t="s">
        <v>140</v>
      </c>
      <c r="W372" s="3" t="s">
        <v>4086</v>
      </c>
      <c r="X372" s="3" t="s">
        <v>4087</v>
      </c>
      <c r="Y372" s="3" t="s">
        <v>4088</v>
      </c>
      <c r="Z372" s="8" t="s">
        <v>4089</v>
      </c>
    </row>
    <row r="373" customFormat="false" ht="26.85" hidden="false" customHeight="false" outlineLevel="0" collapsed="false">
      <c r="A373" s="7" t="s">
        <v>4090</v>
      </c>
      <c r="B373" s="7" t="s">
        <v>4091</v>
      </c>
      <c r="C373" s="7"/>
      <c r="D373" s="7" t="n">
        <v>2026</v>
      </c>
      <c r="E373" s="3" t="s">
        <v>4092</v>
      </c>
      <c r="F373" s="7" t="s">
        <v>140</v>
      </c>
      <c r="G373" s="3" t="s">
        <v>141</v>
      </c>
      <c r="H373" s="7" t="s">
        <v>87</v>
      </c>
      <c r="I373" s="7" t="s">
        <v>225</v>
      </c>
      <c r="J373" s="7" t="s">
        <v>226</v>
      </c>
      <c r="K373" s="7" t="s">
        <v>227</v>
      </c>
      <c r="L373" s="3"/>
      <c r="M373" s="3" t="s">
        <v>4093</v>
      </c>
      <c r="N373" s="3" t="s">
        <v>4094</v>
      </c>
      <c r="O373" s="3" t="s">
        <v>4095</v>
      </c>
      <c r="P373" s="3"/>
      <c r="Q373" s="7"/>
      <c r="R373" s="7"/>
      <c r="S373" s="3"/>
      <c r="T373" s="3" t="s">
        <v>4096</v>
      </c>
      <c r="U373" s="7"/>
      <c r="V373" s="3" t="s">
        <v>140</v>
      </c>
      <c r="W373" s="3" t="s">
        <v>4097</v>
      </c>
      <c r="X373" s="3" t="s">
        <v>4098</v>
      </c>
      <c r="Y373" s="3" t="s">
        <v>4099</v>
      </c>
      <c r="Z373" s="8" t="s">
        <v>4100</v>
      </c>
    </row>
    <row r="374" customFormat="false" ht="26.85" hidden="false" customHeight="false" outlineLevel="0" collapsed="false">
      <c r="A374" s="7" t="s">
        <v>4101</v>
      </c>
      <c r="B374" s="7" t="s">
        <v>4091</v>
      </c>
      <c r="C374" s="7"/>
      <c r="D374" s="7" t="n">
        <v>2026</v>
      </c>
      <c r="E374" s="3" t="s">
        <v>4102</v>
      </c>
      <c r="F374" s="7" t="s">
        <v>85</v>
      </c>
      <c r="G374" s="3" t="s">
        <v>86</v>
      </c>
      <c r="H374" s="7" t="s">
        <v>100</v>
      </c>
      <c r="I374" s="7" t="s">
        <v>101</v>
      </c>
      <c r="J374" s="7" t="s">
        <v>102</v>
      </c>
      <c r="K374" s="7" t="s">
        <v>103</v>
      </c>
      <c r="L374" s="3"/>
      <c r="M374" s="3" t="s">
        <v>4103</v>
      </c>
      <c r="N374" s="3"/>
      <c r="O374" s="3" t="s">
        <v>4104</v>
      </c>
      <c r="P374" s="3"/>
      <c r="Q374" s="7"/>
      <c r="R374" s="7"/>
      <c r="S374" s="3"/>
      <c r="T374" s="3" t="s">
        <v>4105</v>
      </c>
      <c r="U374" s="7"/>
      <c r="V374" s="3" t="s">
        <v>85</v>
      </c>
      <c r="W374" s="3" t="s">
        <v>4106</v>
      </c>
      <c r="X374" s="3" t="s">
        <v>4107</v>
      </c>
      <c r="Y374" s="3" t="s">
        <v>4108</v>
      </c>
      <c r="Z374" s="8" t="s">
        <v>119</v>
      </c>
    </row>
    <row r="375" customFormat="false" ht="39.55" hidden="false" customHeight="false" outlineLevel="0" collapsed="false">
      <c r="A375" s="7" t="s">
        <v>4109</v>
      </c>
      <c r="B375" s="7" t="s">
        <v>4110</v>
      </c>
      <c r="C375" s="7"/>
      <c r="D375" s="7" t="n">
        <v>2026</v>
      </c>
      <c r="E375" s="3" t="s">
        <v>4111</v>
      </c>
      <c r="F375" s="7" t="s">
        <v>123</v>
      </c>
      <c r="G375" s="3" t="s">
        <v>124</v>
      </c>
      <c r="H375" s="7" t="s">
        <v>87</v>
      </c>
      <c r="I375" s="7" t="s">
        <v>502</v>
      </c>
      <c r="J375" s="7" t="s">
        <v>503</v>
      </c>
      <c r="K375" s="7" t="s">
        <v>90</v>
      </c>
      <c r="L375" s="3" t="s">
        <v>4112</v>
      </c>
      <c r="M375" s="3" t="s">
        <v>4113</v>
      </c>
      <c r="N375" s="3"/>
      <c r="O375" s="3"/>
      <c r="P375" s="3" t="s">
        <v>4114</v>
      </c>
      <c r="Q375" s="7" t="s">
        <v>4110</v>
      </c>
      <c r="R375" s="7"/>
      <c r="S375" s="3" t="s">
        <v>4115</v>
      </c>
      <c r="T375" s="3" t="s">
        <v>4116</v>
      </c>
      <c r="U375" s="7"/>
      <c r="V375" s="3" t="s">
        <v>296</v>
      </c>
      <c r="W375" s="3" t="s">
        <v>4117</v>
      </c>
      <c r="X375" s="3" t="s">
        <v>4118</v>
      </c>
      <c r="Y375" s="3" t="s">
        <v>4119</v>
      </c>
      <c r="Z375" s="8" t="s">
        <v>4120</v>
      </c>
    </row>
    <row r="376" customFormat="false" ht="26.85" hidden="false" customHeight="false" outlineLevel="0" collapsed="false">
      <c r="A376" s="7" t="s">
        <v>4121</v>
      </c>
      <c r="B376" s="7" t="s">
        <v>4110</v>
      </c>
      <c r="C376" s="7"/>
      <c r="D376" s="7" t="n">
        <v>2026</v>
      </c>
      <c r="E376" s="3" t="s">
        <v>4122</v>
      </c>
      <c r="F376" s="7" t="s">
        <v>123</v>
      </c>
      <c r="G376" s="3" t="s">
        <v>124</v>
      </c>
      <c r="H376" s="7" t="s">
        <v>87</v>
      </c>
      <c r="I376" s="7" t="s">
        <v>331</v>
      </c>
      <c r="J376" s="7" t="s">
        <v>332</v>
      </c>
      <c r="K376" s="7" t="s">
        <v>680</v>
      </c>
      <c r="L376" s="3" t="s">
        <v>2741</v>
      </c>
      <c r="M376" s="3" t="s">
        <v>4123</v>
      </c>
      <c r="N376" s="3" t="s">
        <v>4124</v>
      </c>
      <c r="O376" s="3" t="s">
        <v>4125</v>
      </c>
      <c r="P376" s="3" t="s">
        <v>4072</v>
      </c>
      <c r="Q376" s="7" t="s">
        <v>4038</v>
      </c>
      <c r="R376" s="7" t="n">
        <v>109</v>
      </c>
      <c r="S376" s="3" t="s">
        <v>4126</v>
      </c>
      <c r="T376" s="3" t="s">
        <v>4127</v>
      </c>
      <c r="U376" s="7"/>
      <c r="V376" s="3" t="s">
        <v>296</v>
      </c>
      <c r="W376" s="3" t="s">
        <v>4128</v>
      </c>
      <c r="X376" s="3" t="s">
        <v>4129</v>
      </c>
      <c r="Y376" s="3" t="s">
        <v>4130</v>
      </c>
      <c r="Z376" s="8" t="s">
        <v>4131</v>
      </c>
    </row>
    <row r="377" customFormat="false" ht="39.55" hidden="false" customHeight="false" outlineLevel="0" collapsed="false">
      <c r="A377" s="7" t="s">
        <v>4132</v>
      </c>
      <c r="B377" s="7" t="s">
        <v>4133</v>
      </c>
      <c r="C377" s="7"/>
      <c r="D377" s="7" t="n">
        <v>2026</v>
      </c>
      <c r="E377" s="3" t="s">
        <v>4134</v>
      </c>
      <c r="F377" s="7" t="s">
        <v>123</v>
      </c>
      <c r="G377" s="3" t="s">
        <v>124</v>
      </c>
      <c r="H377" s="7" t="s">
        <v>100</v>
      </c>
      <c r="I377" s="7" t="s">
        <v>101</v>
      </c>
      <c r="J377" s="7" t="s">
        <v>102</v>
      </c>
      <c r="K377" s="7" t="s">
        <v>103</v>
      </c>
      <c r="L377" s="3" t="s">
        <v>2339</v>
      </c>
      <c r="M377" s="3" t="s">
        <v>4135</v>
      </c>
      <c r="N377" s="3"/>
      <c r="O377" s="3"/>
      <c r="P377" s="3" t="s">
        <v>4136</v>
      </c>
      <c r="Q377" s="7" t="s">
        <v>4038</v>
      </c>
      <c r="R377" s="7" t="n">
        <v>67</v>
      </c>
      <c r="S377" s="3" t="s">
        <v>4137</v>
      </c>
      <c r="T377" s="3" t="s">
        <v>4138</v>
      </c>
      <c r="U377" s="7"/>
      <c r="V377" s="3" t="s">
        <v>123</v>
      </c>
      <c r="W377" s="3" t="s">
        <v>4139</v>
      </c>
      <c r="X377" s="3" t="s">
        <v>4140</v>
      </c>
      <c r="Y377" s="3" t="s">
        <v>4141</v>
      </c>
      <c r="Z377" s="8" t="s">
        <v>4142</v>
      </c>
    </row>
    <row r="378" customFormat="false" ht="39.55" hidden="false" customHeight="false" outlineLevel="0" collapsed="false">
      <c r="A378" s="7" t="s">
        <v>4143</v>
      </c>
      <c r="B378" s="7" t="s">
        <v>4133</v>
      </c>
      <c r="C378" s="7"/>
      <c r="D378" s="7" t="n">
        <v>2026</v>
      </c>
      <c r="E378" s="3" t="s">
        <v>4144</v>
      </c>
      <c r="F378" s="7" t="s">
        <v>123</v>
      </c>
      <c r="G378" s="3" t="s">
        <v>124</v>
      </c>
      <c r="H378" s="7" t="s">
        <v>87</v>
      </c>
      <c r="I378" s="7" t="s">
        <v>331</v>
      </c>
      <c r="J378" s="7" t="s">
        <v>332</v>
      </c>
      <c r="K378" s="7" t="s">
        <v>680</v>
      </c>
      <c r="L378" s="3" t="s">
        <v>2741</v>
      </c>
      <c r="M378" s="3" t="s">
        <v>4145</v>
      </c>
      <c r="N378" s="3" t="s">
        <v>4146</v>
      </c>
      <c r="O378" s="3"/>
      <c r="P378" s="3" t="s">
        <v>4072</v>
      </c>
      <c r="Q378" s="7" t="s">
        <v>4038</v>
      </c>
      <c r="R378" s="7"/>
      <c r="S378" s="3" t="s">
        <v>4126</v>
      </c>
      <c r="T378" s="3" t="s">
        <v>4147</v>
      </c>
      <c r="U378" s="7"/>
      <c r="V378" s="3" t="s">
        <v>296</v>
      </c>
      <c r="W378" s="3" t="s">
        <v>4148</v>
      </c>
      <c r="X378" s="3" t="s">
        <v>4149</v>
      </c>
      <c r="Y378" s="3" t="s">
        <v>4150</v>
      </c>
      <c r="Z378" s="8" t="s">
        <v>4151</v>
      </c>
    </row>
    <row r="379" customFormat="false" ht="39.55" hidden="false" customHeight="false" outlineLevel="0" collapsed="false">
      <c r="A379" s="7" t="s">
        <v>4152</v>
      </c>
      <c r="B379" s="7" t="s">
        <v>4133</v>
      </c>
      <c r="C379" s="7"/>
      <c r="D379" s="7" t="n">
        <v>2026</v>
      </c>
      <c r="E379" s="3" t="s">
        <v>4153</v>
      </c>
      <c r="F379" s="7" t="s">
        <v>123</v>
      </c>
      <c r="G379" s="3" t="s">
        <v>124</v>
      </c>
      <c r="H379" s="7" t="s">
        <v>87</v>
      </c>
      <c r="I379" s="7" t="s">
        <v>941</v>
      </c>
      <c r="J379" s="7" t="s">
        <v>942</v>
      </c>
      <c r="K379" s="7" t="s">
        <v>1413</v>
      </c>
      <c r="L379" s="3" t="s">
        <v>4154</v>
      </c>
      <c r="M379" s="3" t="s">
        <v>4155</v>
      </c>
      <c r="N379" s="3" t="s">
        <v>4156</v>
      </c>
      <c r="O379" s="3"/>
      <c r="P379" s="3" t="s">
        <v>4157</v>
      </c>
      <c r="Q379" s="7" t="s">
        <v>4038</v>
      </c>
      <c r="R379" s="7" t="n">
        <v>77</v>
      </c>
      <c r="S379" s="3" t="s">
        <v>4158</v>
      </c>
      <c r="T379" s="3" t="s">
        <v>4159</v>
      </c>
      <c r="U379" s="7"/>
      <c r="V379" s="3" t="s">
        <v>296</v>
      </c>
      <c r="W379" s="3" t="s">
        <v>4160</v>
      </c>
      <c r="X379" s="3" t="s">
        <v>4161</v>
      </c>
      <c r="Y379" s="3" t="s">
        <v>4162</v>
      </c>
      <c r="Z379" s="8" t="s">
        <v>4163</v>
      </c>
    </row>
    <row r="380" customFormat="false" ht="39.55" hidden="false" customHeight="false" outlineLevel="0" collapsed="false">
      <c r="A380" s="7" t="s">
        <v>4164</v>
      </c>
      <c r="B380" s="7" t="s">
        <v>4133</v>
      </c>
      <c r="C380" s="7"/>
      <c r="D380" s="7" t="n">
        <v>2026</v>
      </c>
      <c r="E380" s="3" t="s">
        <v>4165</v>
      </c>
      <c r="F380" s="7" t="s">
        <v>123</v>
      </c>
      <c r="G380" s="3" t="s">
        <v>124</v>
      </c>
      <c r="H380" s="7" t="s">
        <v>87</v>
      </c>
      <c r="I380" s="7" t="s">
        <v>941</v>
      </c>
      <c r="J380" s="7" t="s">
        <v>942</v>
      </c>
      <c r="K380" s="7" t="s">
        <v>1413</v>
      </c>
      <c r="L380" s="3" t="s">
        <v>4166</v>
      </c>
      <c r="M380" s="3" t="s">
        <v>4167</v>
      </c>
      <c r="N380" s="3" t="s">
        <v>4168</v>
      </c>
      <c r="O380" s="3" t="s">
        <v>4169</v>
      </c>
      <c r="P380" s="3" t="s">
        <v>4157</v>
      </c>
      <c r="Q380" s="7" t="s">
        <v>4038</v>
      </c>
      <c r="R380" s="7" t="n">
        <v>77</v>
      </c>
      <c r="S380" s="3" t="s">
        <v>4170</v>
      </c>
      <c r="T380" s="3" t="s">
        <v>4171</v>
      </c>
      <c r="U380" s="7"/>
      <c r="V380" s="3" t="s">
        <v>296</v>
      </c>
      <c r="W380" s="3" t="s">
        <v>4172</v>
      </c>
      <c r="X380" s="3" t="s">
        <v>4173</v>
      </c>
      <c r="Y380" s="3" t="s">
        <v>4174</v>
      </c>
      <c r="Z380" s="8" t="s">
        <v>4175</v>
      </c>
    </row>
    <row r="381" customFormat="false" ht="26.85" hidden="false" customHeight="false" outlineLevel="0" collapsed="false">
      <c r="A381" s="7" t="s">
        <v>4176</v>
      </c>
      <c r="B381" s="7" t="s">
        <v>4177</v>
      </c>
      <c r="C381" s="7"/>
      <c r="D381" s="7" t="n">
        <v>2026</v>
      </c>
      <c r="E381" s="3" t="s">
        <v>4178</v>
      </c>
      <c r="F381" s="7" t="s">
        <v>123</v>
      </c>
      <c r="G381" s="3" t="s">
        <v>124</v>
      </c>
      <c r="H381" s="7" t="s">
        <v>87</v>
      </c>
      <c r="I381" s="7" t="s">
        <v>703</v>
      </c>
      <c r="J381" s="7" t="s">
        <v>704</v>
      </c>
      <c r="K381" s="7" t="s">
        <v>90</v>
      </c>
      <c r="L381" s="3" t="s">
        <v>2944</v>
      </c>
      <c r="M381" s="3" t="s">
        <v>4179</v>
      </c>
      <c r="N381" s="3" t="s">
        <v>4180</v>
      </c>
      <c r="O381" s="3" t="s">
        <v>4181</v>
      </c>
      <c r="P381" s="3" t="s">
        <v>4037</v>
      </c>
      <c r="Q381" s="7" t="s">
        <v>4038</v>
      </c>
      <c r="R381" s="7" t="n">
        <v>30</v>
      </c>
      <c r="S381" s="3" t="s">
        <v>4039</v>
      </c>
      <c r="T381" s="3" t="s">
        <v>4182</v>
      </c>
      <c r="U381" s="7"/>
      <c r="V381" s="3" t="s">
        <v>296</v>
      </c>
      <c r="W381" s="3" t="s">
        <v>4183</v>
      </c>
      <c r="X381" s="3" t="s">
        <v>4184</v>
      </c>
      <c r="Y381" s="3" t="s">
        <v>2618</v>
      </c>
      <c r="Z381" s="8" t="s">
        <v>2619</v>
      </c>
    </row>
    <row r="382" customFormat="false" ht="26.85" hidden="false" customHeight="false" outlineLevel="0" collapsed="false">
      <c r="A382" s="7" t="s">
        <v>4185</v>
      </c>
      <c r="B382" s="7" t="s">
        <v>4177</v>
      </c>
      <c r="C382" s="7"/>
      <c r="D382" s="7" t="n">
        <v>2026</v>
      </c>
      <c r="E382" s="3" t="s">
        <v>4186</v>
      </c>
      <c r="F382" s="7" t="s">
        <v>140</v>
      </c>
      <c r="G382" s="3" t="s">
        <v>141</v>
      </c>
      <c r="H382" s="7" t="s">
        <v>87</v>
      </c>
      <c r="I382" s="7" t="s">
        <v>3795</v>
      </c>
      <c r="J382" s="7" t="s">
        <v>3796</v>
      </c>
      <c r="K382" s="7" t="s">
        <v>90</v>
      </c>
      <c r="L382" s="3" t="s">
        <v>4187</v>
      </c>
      <c r="M382" s="3" t="s">
        <v>4188</v>
      </c>
      <c r="N382" s="3" t="s">
        <v>4189</v>
      </c>
      <c r="O382" s="3" t="s">
        <v>4190</v>
      </c>
      <c r="P382" s="3"/>
      <c r="Q382" s="7"/>
      <c r="R382" s="7"/>
      <c r="S382" s="3"/>
      <c r="T382" s="3" t="s">
        <v>4191</v>
      </c>
      <c r="U382" s="7"/>
      <c r="V382" s="3" t="s">
        <v>140</v>
      </c>
      <c r="W382" s="3" t="s">
        <v>4192</v>
      </c>
      <c r="X382" s="3" t="s">
        <v>4193</v>
      </c>
      <c r="Y382" s="3" t="s">
        <v>4194</v>
      </c>
      <c r="Z382" s="8" t="s">
        <v>3803</v>
      </c>
    </row>
    <row r="383" customFormat="false" ht="39.55" hidden="false" customHeight="false" outlineLevel="0" collapsed="false">
      <c r="A383" s="7" t="s">
        <v>4195</v>
      </c>
      <c r="B383" s="7" t="s">
        <v>4177</v>
      </c>
      <c r="C383" s="7"/>
      <c r="D383" s="7" t="n">
        <v>2026</v>
      </c>
      <c r="E383" s="3" t="s">
        <v>4196</v>
      </c>
      <c r="F383" s="7" t="s">
        <v>140</v>
      </c>
      <c r="G383" s="3" t="s">
        <v>141</v>
      </c>
      <c r="H383" s="7" t="s">
        <v>87</v>
      </c>
      <c r="I383" s="7" t="s">
        <v>304</v>
      </c>
      <c r="J383" s="7" t="s">
        <v>305</v>
      </c>
      <c r="K383" s="7" t="s">
        <v>1746</v>
      </c>
      <c r="L383" s="3" t="s">
        <v>4197</v>
      </c>
      <c r="M383" s="3" t="s">
        <v>4198</v>
      </c>
      <c r="N383" s="3" t="s">
        <v>4199</v>
      </c>
      <c r="O383" s="3" t="s">
        <v>4200</v>
      </c>
      <c r="P383" s="3"/>
      <c r="Q383" s="7"/>
      <c r="R383" s="7"/>
      <c r="S383" s="3"/>
      <c r="T383" s="3" t="s">
        <v>4201</v>
      </c>
      <c r="U383" s="7"/>
      <c r="V383" s="3" t="s">
        <v>140</v>
      </c>
      <c r="W383" s="3" t="s">
        <v>4202</v>
      </c>
      <c r="X383" s="3" t="s">
        <v>4203</v>
      </c>
      <c r="Y383" s="3" t="s">
        <v>4204</v>
      </c>
      <c r="Z383" s="8" t="s">
        <v>4205</v>
      </c>
    </row>
    <row r="384" customFormat="false" ht="26.85" hidden="false" customHeight="false" outlineLevel="0" collapsed="false">
      <c r="A384" s="7" t="s">
        <v>4206</v>
      </c>
      <c r="B384" s="7" t="s">
        <v>4177</v>
      </c>
      <c r="C384" s="7" t="s">
        <v>121</v>
      </c>
      <c r="D384" s="7" t="n">
        <v>2026</v>
      </c>
      <c r="E384" s="3" t="s">
        <v>4207</v>
      </c>
      <c r="F384" s="7" t="s">
        <v>140</v>
      </c>
      <c r="G384" s="3" t="s">
        <v>141</v>
      </c>
      <c r="H384" s="7" t="s">
        <v>87</v>
      </c>
      <c r="I384" s="7" t="s">
        <v>1341</v>
      </c>
      <c r="J384" s="7" t="s">
        <v>1342</v>
      </c>
      <c r="K384" s="7" t="s">
        <v>90</v>
      </c>
      <c r="L384" s="3" t="s">
        <v>4208</v>
      </c>
      <c r="M384" s="3" t="s">
        <v>4209</v>
      </c>
      <c r="N384" s="3" t="s">
        <v>4210</v>
      </c>
      <c r="O384" s="3" t="s">
        <v>4211</v>
      </c>
      <c r="P384" s="3"/>
      <c r="Q384" s="7"/>
      <c r="R384" s="7"/>
      <c r="S384" s="3"/>
      <c r="T384" s="3" t="s">
        <v>4212</v>
      </c>
      <c r="U384" s="7"/>
      <c r="V384" s="3" t="s">
        <v>140</v>
      </c>
      <c r="W384" s="3" t="s">
        <v>4213</v>
      </c>
      <c r="X384" s="3" t="s">
        <v>4214</v>
      </c>
      <c r="Y384" s="3" t="s">
        <v>4215</v>
      </c>
      <c r="Z384" s="8" t="s">
        <v>4216</v>
      </c>
    </row>
    <row r="385" customFormat="false" ht="26.85" hidden="false" customHeight="false" outlineLevel="0" collapsed="false">
      <c r="A385" s="7" t="s">
        <v>4217</v>
      </c>
      <c r="B385" s="7" t="s">
        <v>4218</v>
      </c>
      <c r="C385" s="7"/>
      <c r="D385" s="7" t="n">
        <v>2026</v>
      </c>
      <c r="E385" s="3" t="s">
        <v>4219</v>
      </c>
      <c r="F385" s="7" t="s">
        <v>140</v>
      </c>
      <c r="G385" s="3" t="s">
        <v>141</v>
      </c>
      <c r="H385" s="7" t="s">
        <v>87</v>
      </c>
      <c r="I385" s="7" t="s">
        <v>125</v>
      </c>
      <c r="J385" s="7" t="s">
        <v>126</v>
      </c>
      <c r="K385" s="7" t="s">
        <v>1045</v>
      </c>
      <c r="L385" s="3" t="s">
        <v>4220</v>
      </c>
      <c r="M385" s="3" t="s">
        <v>4221</v>
      </c>
      <c r="N385" s="3"/>
      <c r="O385" s="3"/>
      <c r="P385" s="3"/>
      <c r="Q385" s="7"/>
      <c r="R385" s="7"/>
      <c r="S385" s="3"/>
      <c r="T385" s="3" t="s">
        <v>4222</v>
      </c>
      <c r="U385" s="7"/>
      <c r="V385" s="3" t="s">
        <v>140</v>
      </c>
      <c r="W385" s="3" t="s">
        <v>4223</v>
      </c>
      <c r="X385" s="3" t="s">
        <v>4224</v>
      </c>
      <c r="Y385" s="3" t="s">
        <v>4225</v>
      </c>
      <c r="Z385" s="8" t="s">
        <v>4226</v>
      </c>
    </row>
    <row r="386" customFormat="false" ht="26.85" hidden="false" customHeight="false" outlineLevel="0" collapsed="false">
      <c r="A386" s="7" t="s">
        <v>4227</v>
      </c>
      <c r="B386" s="7" t="s">
        <v>4228</v>
      </c>
      <c r="C386" s="7"/>
      <c r="D386" s="7" t="n">
        <v>2026</v>
      </c>
      <c r="E386" s="3" t="s">
        <v>4229</v>
      </c>
      <c r="F386" s="7" t="s">
        <v>140</v>
      </c>
      <c r="G386" s="3" t="s">
        <v>141</v>
      </c>
      <c r="H386" s="7" t="s">
        <v>87</v>
      </c>
      <c r="I386" s="7" t="s">
        <v>941</v>
      </c>
      <c r="J386" s="7" t="s">
        <v>942</v>
      </c>
      <c r="K386" s="7" t="s">
        <v>90</v>
      </c>
      <c r="L386" s="3" t="s">
        <v>4230</v>
      </c>
      <c r="M386" s="3" t="s">
        <v>4231</v>
      </c>
      <c r="N386" s="3" t="s">
        <v>4232</v>
      </c>
      <c r="O386" s="3" t="s">
        <v>4233</v>
      </c>
      <c r="P386" s="3"/>
      <c r="Q386" s="7"/>
      <c r="R386" s="7"/>
      <c r="S386" s="3"/>
      <c r="T386" s="3" t="s">
        <v>4234</v>
      </c>
      <c r="U386" s="7"/>
      <c r="V386" s="3" t="s">
        <v>140</v>
      </c>
      <c r="W386" s="3" t="s">
        <v>4235</v>
      </c>
      <c r="X386" s="3" t="s">
        <v>4236</v>
      </c>
      <c r="Y386" s="3" t="s">
        <v>4237</v>
      </c>
      <c r="Z386" s="8" t="s">
        <v>4238</v>
      </c>
    </row>
    <row r="387" customFormat="false" ht="26.85" hidden="false" customHeight="false" outlineLevel="0" collapsed="false">
      <c r="A387" s="7" t="s">
        <v>4239</v>
      </c>
      <c r="B387" s="7" t="s">
        <v>4228</v>
      </c>
      <c r="C387" s="7"/>
      <c r="D387" s="7" t="n">
        <v>2026</v>
      </c>
      <c r="E387" s="3" t="s">
        <v>4240</v>
      </c>
      <c r="F387" s="7" t="s">
        <v>140</v>
      </c>
      <c r="G387" s="3" t="s">
        <v>141</v>
      </c>
      <c r="H387" s="7" t="s">
        <v>87</v>
      </c>
      <c r="I387" s="7" t="s">
        <v>941</v>
      </c>
      <c r="J387" s="7" t="s">
        <v>942</v>
      </c>
      <c r="K387" s="7" t="s">
        <v>90</v>
      </c>
      <c r="L387" s="3" t="s">
        <v>4230</v>
      </c>
      <c r="M387" s="3" t="s">
        <v>4241</v>
      </c>
      <c r="N387" s="3" t="s">
        <v>4242</v>
      </c>
      <c r="O387" s="3"/>
      <c r="P387" s="3"/>
      <c r="Q387" s="7"/>
      <c r="R387" s="7"/>
      <c r="S387" s="3"/>
      <c r="T387" s="3" t="s">
        <v>4243</v>
      </c>
      <c r="U387" s="7"/>
      <c r="V387" s="3" t="s">
        <v>140</v>
      </c>
      <c r="W387" s="3" t="s">
        <v>4244</v>
      </c>
      <c r="X387" s="3" t="s">
        <v>4245</v>
      </c>
      <c r="Y387" s="3" t="s">
        <v>4246</v>
      </c>
      <c r="Z387" s="8" t="s">
        <v>4247</v>
      </c>
    </row>
    <row r="388" customFormat="false" ht="26.85" hidden="false" customHeight="false" outlineLevel="0" collapsed="false">
      <c r="A388" s="7" t="s">
        <v>4248</v>
      </c>
      <c r="B388" s="7" t="s">
        <v>4249</v>
      </c>
      <c r="C388" s="7"/>
      <c r="D388" s="7" t="n">
        <v>2026</v>
      </c>
      <c r="E388" s="3" t="s">
        <v>4250</v>
      </c>
      <c r="F388" s="7" t="s">
        <v>140</v>
      </c>
      <c r="G388" s="3" t="s">
        <v>141</v>
      </c>
      <c r="H388" s="7" t="s">
        <v>87</v>
      </c>
      <c r="I388" s="7" t="s">
        <v>331</v>
      </c>
      <c r="J388" s="7" t="s">
        <v>332</v>
      </c>
      <c r="K388" s="7" t="s">
        <v>4251</v>
      </c>
      <c r="L388" s="3" t="s">
        <v>4252</v>
      </c>
      <c r="M388" s="3" t="s">
        <v>4253</v>
      </c>
      <c r="N388" s="3" t="s">
        <v>4254</v>
      </c>
      <c r="O388" s="3" t="s">
        <v>4255</v>
      </c>
      <c r="P388" s="3"/>
      <c r="Q388" s="7"/>
      <c r="R388" s="7"/>
      <c r="S388" s="3"/>
      <c r="T388" s="3" t="s">
        <v>4256</v>
      </c>
      <c r="U388" s="7"/>
      <c r="V388" s="3" t="s">
        <v>140</v>
      </c>
      <c r="W388" s="3" t="s">
        <v>4257</v>
      </c>
      <c r="X388" s="3" t="s">
        <v>4258</v>
      </c>
      <c r="Y388" s="3" t="s">
        <v>4259</v>
      </c>
      <c r="Z388" s="8" t="s">
        <v>4260</v>
      </c>
    </row>
    <row r="389" customFormat="false" ht="26.85" hidden="false" customHeight="false" outlineLevel="0" collapsed="false">
      <c r="A389" s="7" t="s">
        <v>4261</v>
      </c>
      <c r="B389" s="7" t="s">
        <v>4249</v>
      </c>
      <c r="C389" s="7"/>
      <c r="D389" s="7" t="n">
        <v>2026</v>
      </c>
      <c r="E389" s="3" t="s">
        <v>4262</v>
      </c>
      <c r="F389" s="7" t="s">
        <v>140</v>
      </c>
      <c r="G389" s="3" t="s">
        <v>141</v>
      </c>
      <c r="H389" s="7" t="s">
        <v>87</v>
      </c>
      <c r="I389" s="7" t="s">
        <v>1341</v>
      </c>
      <c r="J389" s="7" t="s">
        <v>1342</v>
      </c>
      <c r="K389" s="7" t="s">
        <v>90</v>
      </c>
      <c r="L389" s="3" t="s">
        <v>4208</v>
      </c>
      <c r="M389" s="3" t="s">
        <v>4263</v>
      </c>
      <c r="N389" s="3"/>
      <c r="O389" s="3"/>
      <c r="P389" s="3"/>
      <c r="Q389" s="7"/>
      <c r="R389" s="7"/>
      <c r="S389" s="3"/>
      <c r="T389" s="3" t="s">
        <v>4264</v>
      </c>
      <c r="U389" s="7"/>
      <c r="V389" s="3" t="s">
        <v>140</v>
      </c>
      <c r="W389" s="3" t="s">
        <v>4265</v>
      </c>
      <c r="X389" s="3" t="s">
        <v>4266</v>
      </c>
      <c r="Y389" s="3" t="s">
        <v>4267</v>
      </c>
      <c r="Z389" s="8" t="s">
        <v>4268</v>
      </c>
    </row>
    <row r="390" customFormat="false" ht="26.85" hidden="false" customHeight="false" outlineLevel="0" collapsed="false">
      <c r="A390" s="7" t="s">
        <v>4269</v>
      </c>
      <c r="B390" s="7" t="s">
        <v>4249</v>
      </c>
      <c r="C390" s="7"/>
      <c r="D390" s="7" t="n">
        <v>2026</v>
      </c>
      <c r="E390" s="3" t="s">
        <v>4270</v>
      </c>
      <c r="F390" s="7" t="s">
        <v>140</v>
      </c>
      <c r="G390" s="3" t="s">
        <v>141</v>
      </c>
      <c r="H390" s="7" t="s">
        <v>87</v>
      </c>
      <c r="I390" s="7" t="s">
        <v>941</v>
      </c>
      <c r="J390" s="7" t="s">
        <v>942</v>
      </c>
      <c r="K390" s="7" t="s">
        <v>90</v>
      </c>
      <c r="L390" s="3" t="s">
        <v>4230</v>
      </c>
      <c r="M390" s="3" t="s">
        <v>4271</v>
      </c>
      <c r="N390" s="3" t="s">
        <v>4272</v>
      </c>
      <c r="O390" s="3" t="s">
        <v>4273</v>
      </c>
      <c r="P390" s="3"/>
      <c r="Q390" s="7"/>
      <c r="R390" s="7"/>
      <c r="S390" s="3"/>
      <c r="T390" s="3" t="s">
        <v>4274</v>
      </c>
      <c r="U390" s="7"/>
      <c r="V390" s="3" t="s">
        <v>140</v>
      </c>
      <c r="W390" s="3" t="s">
        <v>4275</v>
      </c>
      <c r="X390" s="3" t="s">
        <v>4276</v>
      </c>
      <c r="Y390" s="3" t="s">
        <v>4277</v>
      </c>
      <c r="Z390" s="8" t="s">
        <v>4278</v>
      </c>
    </row>
  </sheetData>
  <autoFilter ref="A1:Z390"/>
  <hyperlinks>
    <hyperlink ref="Z2" r:id="rId1" display="https://frontline.thehindu.com/environment/article30253968.ece"/>
    <hyperlink ref="Z3" r:id="rId2" display="https://fincomindia.nic.in/asset/doc/commission-reports/11th-FC/11threport.pdf"/>
    <hyperlink ref="Z4" r:id="rId3" display="https://bucketapi.rajyasabha.digital/public-bucket/uploads/committee/2026_08_21_committee_3339_976_6a881941b462a.pdf"/>
    <hyperlink ref="Z5" r:id="rId4" display="https://frontline.thehindu.com/politics/article30250696.ece"/>
    <hyperlink ref="Z6" r:id="rId5" display="https://www.indiabudget.gov.in/budget_archive/ub2000-01/bs/bsa5.htm"/>
    <hyperlink ref="Z7" r:id="rId6" display="https://nfsa.gov.in/portal/PDS_page"/>
    <hyperlink ref="Z8" r:id="rId7" display="https://frontline.thehindu.com/other/article30249961.ece"/>
    <hyperlink ref="Z9" r:id="rId8" display="https://www.thehindu.com/news/national/other-states/behind-the-bjds-electoral-successes-in-odisha-are-women-shgs/article66022675.ece"/>
    <hyperlink ref="Z10" r:id="rId9" display="https://www.indiatoday.in/magazine/states/story/20010305-gujarat-cm-keshubhai-patel-fitness-to-rule-grows-after-failure-to-provide-quake-relief-775615-2001-03-04"/>
    <hyperlink ref="Z11" r:id="rId10" display="https://www.indiabudget.gov.in/doc/memo.pdf"/>
    <hyperlink ref="Z12" r:id="rId11" display="https://www.indiabudget.gov.in/budget_archive/ub2002-03/bs/speech_a.htm"/>
    <hyperlink ref="Z13" r:id="rId12" display="https://frontline.thehindu.com/other/article30245718.ece"/>
    <hyperlink ref="Z14" r:id="rId13" display="https://frontline.thehindu.com/the-nation/article30217066.ece"/>
    <hyperlink ref="Z15" r:id="rId14" display="https://www.thegoan.net/goa-news/another-bonanza-on-cards-govt-to-enhance-dsss-griha-aadhar-by-rs-500/153962.html"/>
    <hyperlink ref="Z16" r:id="rId15" display="https://www.indiabudget.gov.in/budget_archive/es2002-03/chapt2003/chap83.pdf"/>
    <hyperlink ref="Z17" r:id="rId16" display="https://frontline.thehindu.com/politics/playing-the-piper/article5389646.ece"/>
    <hyperlink ref="Z18" r:id="rId17" display="https://frontline.thehindu.com/the-nation/article30216871.ece"/>
    <hyperlink ref="Z19" r:id="rId18" display="https://frontline.thehindu.com/other/article30245094.ece"/>
    <hyperlink ref="Z20" r:id="rId19" display="https://indianexpress.com/article/cities/chandigarh/power-subsidy-social-security-architect-populist-schemes-8576206/"/>
    <hyperlink ref="Z21" r:id="rId20" display="https://www.rediff.com/news/interview/inter/20030531.htm"/>
    <hyperlink ref="Z22" r:id="rId21" display="https://frontline.thehindu.com/other/article30215779.ece"/>
    <hyperlink ref="Z23" r:id="rId22" display="https://www.indiabudget.gov.in/budget_archive/ub2003-04/bs/speecha.htm"/>
    <hyperlink ref="Z24" r:id="rId23" display="https://economictimes.indiatimes.com/industry/energy/oil-gas/budget-2026-oil-industry-seeks-abolition-or-review-of-oid-cess-on-pre-nelp-and-nomination-blocks/articleshow/126545404.cms"/>
    <hyperlink ref="Z25" r:id="rId24" display="https://www.indiabudget.gov.in/budget_archive/ub2003-04/bs/speecha.htm"/>
    <hyperlink ref="Z26" r:id="rId25" display="https://timesofindia.indiatimes.com/city/hyderabad/naidus-major-sops-for-farmers/articleshow/47811599.cms"/>
    <hyperlink ref="Z27" r:id="rId26" display="https://timesofindia.indiatimes.com/city/bengaluru/krishna-moots-yeshasvini-scheme-for-other-sectors/articleshow/49404.cms"/>
    <hyperlink ref="Z28" r:id="rId27" display="https://www.rediff.com/business/special/shining/20040402.htm"/>
    <hyperlink ref="Z29" r:id="rId28" display="https://frontline.thehindu.com/cover-story/article30223009.ece"/>
    <hyperlink ref="Z30" r:id="rId29" display="https://www.rediff.com/business/report/bud12/20040108.htm"/>
    <hyperlink ref="Z31" r:id="rId30" display="https://www.indiabudget.gov.in/budget_archive/ub2004-05(I)/bs/speecha.htm"/>
    <hyperlink ref="Z32" r:id="rId31" display="https://www.indiabudget.gov.in/budget_archive/ub2004-05(I)/bs/speecha.htm"/>
    <hyperlink ref="Z33" r:id="rId32" display="https://www.indiabudget.gov.in/budget_archive/ub2004-05(I)/bs/speecha.htm"/>
    <hyperlink ref="Z34" r:id="rId33" display="https://www.altnews.in/did-upa-govt-build-only-one-aiims-institute-during-their-tenure-false-claim-viral/"/>
    <hyperlink ref="Z35" r:id="rId34" display="https://timesofindia.indiatimes.com/city/hyderabad/farmers-to-get-free-power/articleshow/676611.cms"/>
    <hyperlink ref="Z36" r:id="rId35" display="https://timesofindia.indiatimes.com/india/jaya-on-a-roll-power-rates-go-back-2-yrs/articleshow/711517.cms"/>
    <hyperlink ref="Z37" r:id="rId36" display="https://frontline.thehindu.com/other/article30223930.ece"/>
    <hyperlink ref="Z38" r:id="rId37" display="https://www.indiabudget.gov.in/budget_archive/ub2004-05/bs/speecha.htm"/>
    <hyperlink ref="Z39" r:id="rId38" display="https://timesofindia.indiatimes.com/city/pune/free-power-for-farmers-only-up-to-march/articleshow/816832.cms"/>
    <hyperlink ref="Z40" r:id="rId39" display="https://socialjusticehry.gov.in/old-age-samman-allowance-scheme/"/>
    <hyperlink ref="Z41" r:id="rId40" display="https://indianexpress.com/article/india/kerala-floods-on-foreign-aid-india-follows-policy-set-in-tsunami-aftermath-5318338/"/>
    <hyperlink ref="Z42" r:id="rId41" display="https://bucketapi.rajyasabha.digital/public-bucket/uploads/committee/2026_08_21_committee_3339_976_6a881941b462a.pdf"/>
    <hyperlink ref="Z43" r:id="rId42" display="https://frontline.thehindu.com/other/article30164012.ece"/>
    <hyperlink ref="Z44" r:id="rId43" display="https://frontline.thehindu.com/cover-story/article30203386.ece"/>
    <hyperlink ref="Z45" r:id="rId44" display="https://www.indiabudget.gov.in/budget_archive/ub2005-06/bs/speecha.htm"/>
    <hyperlink ref="Z46" r:id="rId45" display="https://nhm.gov.in/index1.php?lang=1&amp;level=3&amp;sublinkid=841&amp;lid=309"/>
    <hyperlink ref="Z47" r:id="rId46" display="https://frontline.thehindu.com/cover-story/article30206092.ece"/>
    <hyperlink ref="Z48" r:id="rId47" display="https://www.outlookindia.com/opinion/india-news-2007-punjab-legislative-assembly-elections-news-305311"/>
    <hyperlink ref="Z49" r:id="rId48" display="https://journals.plos.org/plosone/article?id=10.1371/journal.pone.0095704"/>
    <hyperlink ref="Z50" r:id="rId49" display="https://prsindia.org/files/bills_acts/bills_parliament/2024/Disaster_Management_Act_2005.pdf"/>
    <hyperlink ref="Z51" r:id="rId50" display="https://www.rediff.com/news/report/stampede/20060127.htm"/>
    <hyperlink ref="Z52" r:id="rId51" display="https://indianexpress.com/article/long-reads/two-decades-ago-nitish-distributed-cycles-to-girls-in-class-9-where-are-they-now-10360460/"/>
    <hyperlink ref="Z53" r:id="rId52" display="https://www.newindianexpress.com/states/kerala/2013/Mar/20/grave-lapses-in-tsunami-rehabilitation-programme-460171.html"/>
    <hyperlink ref="Z54" r:id="rId53" display="https://www.thehindu.com/news/national/andhra-pradesh/nregs-transforms-bandlapalli-where-it-was-launched-in-2006/article33721578.ece"/>
    <hyperlink ref="Z55" r:id="rId54" display="https://www.hindustantimes.com/india/unemployment-dole/story-4nNvKmDAYGRN0MfOx1iDKP.html"/>
    <hyperlink ref="Z56" r:id="rId55" display="https://frontline.thehindu.com/cover-story/article30209583.ece"/>
    <hyperlink ref="Z57" r:id="rId56" display="https://timesofindia.indiatimes.com/india/free-tv-soap-opera-is-a-hit-in-tn/articleshow/1996396.cms"/>
    <hyperlink ref="Z58" r:id="rId57" display="https://frontline.thehindu.com/other/article30193144.ece"/>
    <hyperlink ref="Z59" r:id="rId58" display="https://www.oneindia.com/2007/05/02/ladli-lakshmi-yojana-in-mp-1178120286.html"/>
    <hyperlink ref="Z60" r:id="rId59" display="https://www.tribuneindia.com/news/top-headlines/mann-govt-to-provide-free-ration-kits-to-40l-families-ahead-of-poll/"/>
    <hyperlink ref="Z61" r:id="rId60" display="https://www.indiabudget.gov.in/budget_archive/ub2009-10(I)/bs/speecha.htm"/>
    <hyperlink ref="Z62" r:id="rId61" display="https://www.newindianexpress.com/cities/delhi/2025/Feb/27/ladli-scheme-audit-finds-rs-61838-crore-unclaimed-reveals-massive-irregularities"/>
    <hyperlink ref="Z63" r:id="rId62" display="https://www.thehindu.com/news/national/other-states/vasundhara-to-relaunch-scheme-to-empower-women/article6319335.ece"/>
    <hyperlink ref="Z64" r:id="rId63" display="https://timesofindia.indiatimes.com/india/chhattisgarh-poor-to-get-rice-at-rs-3/kg/articleshow/2706349.cms"/>
    <hyperlink ref="Z65" r:id="rId64" display="https://timesofindia.indiatimes.com/city/bhubaneswar/Government-renames-Mo-Kudia-scheme/articleshow/42329187.cms"/>
    <hyperlink ref="Z66" r:id="rId65" display="https://www.indiabudget.gov.in/budget_archive/ub2008-09/bs/speecha.htm"/>
    <hyperlink ref="Z67" r:id="rId66" display="https://www.indiabudget.gov.in/budget_archive/ub2008-09/bs/speecha.htm"/>
    <hyperlink ref="Z68" r:id="rId67" display="https://www.indiabudget.gov.in/budget_archive/ub2008-09/bs/speecha.htm"/>
    <hyperlink ref="Z69" r:id="rId68" display="https://timesofindia.indiatimes.com/india/poll-sop-rice-at-rs-2/kg-in-andhra/articleshow/2939135.cms"/>
    <hyperlink ref="Z70" r:id="rId69" display="https://economictimes.indiatimes.com/news/politics-and-nation/pm-sanctions-rs-1000-crore-declares-bihar-flood-national-disaster/articleshow/3419064.cms"/>
    <hyperlink ref="Z71" r:id="rId70" display="https://www.indiabudget.gov.in/budget_archive/ub2009-10(I)/bs/speecha.htm"/>
    <hyperlink ref="Z72" r:id="rId71" display="https://indianexpress.com/article/political-pulse/naveen-is-orissa-cm-for-record-fourth-time/"/>
    <hyperlink ref="Z73" r:id="rId72" display="https://timesofindia.indiatimes.com/city/chennai/rice-at-re-1-per-kg-in-tn-from-sept-5/articleshow/3426920.cms"/>
    <hyperlink ref="Z74" r:id="rId73" display="https://www.indiabudget.gov.in/budget_archive/ub2009-10/bs/speecha.htm"/>
    <hyperlink ref="Z75" r:id="rId74" display="https://indianexpress.com/article/cities/ahmedabad/gujarat-cm-bhupendra-patel-launches-14th-garib-kalyan-mela-9591151/"/>
    <hyperlink ref="Z76" r:id="rId75" display="https://frontline.thehindu.com/the-nation/article30188800.ece"/>
    <hyperlink ref="Z77" r:id="rId76" display="https://frontline.thehindu.com/politics/article30188745.ece"/>
    <hyperlink ref="Z78" r:id="rId77" display="https://www.thehindu.com/news/national/whither-bundelkhand-package/article2883401.ece"/>
    <hyperlink ref="Z79" r:id="rId78" display="https://indianexpress.com/article/india/india-news-india/west-bengal-assembly-elections-2016-in-jangalmahal-village-that-once-went-hungry-parivartan-takes-the-form-of-affordable-rice/"/>
    <hyperlink ref="Z80" r:id="rId79" display="https://indianexpress.com/article/cities/lucknow/announced-on-maya-s-birthday-schemes-execut/"/>
    <hyperlink ref="Z81" r:id="rId80" display="https://indianexpress.com/article/india/india-others/2-fare-cut-is-the-only-lalu-stimulus/"/>
    <hyperlink ref="Z82" r:id="rId81" display="https://socialjusticehry.gov.in/old-age-samman-allowance-scheme/"/>
    <hyperlink ref="Z83" r:id="rId82" display="https://frontline.thehindu.com/the-nation/article30187387.ece"/>
    <hyperlink ref="Z84" r:id="rId83" display="https://www.thehindu.com/news/national/Manmohan-winds-up-survey-announces-Rs.-2000-cr.-relief/article16885881.ece"/>
    <hyperlink ref="Z85" r:id="rId84" display="https://bucketapi.rajyasabha.digital/public-bucket/uploads/committee/2026_08_21_committee_3339_976_6a881941b462a.pdf"/>
    <hyperlink ref="Z86" r:id="rId85" display="https://www.rediff.com/news/slide-show/slide-show-1-when-nitish-cancelled-the-modi-dinner/20140228.htm"/>
    <hyperlink ref="Z87" r:id="rId86" display="https://indianexpress.com/article/explained/maternity-benefit-scheme-what-pm-modi-said-where-things-stand-now-4459269/"/>
    <hyperlink ref="Z88" r:id="rId87" display="https://www.thehindu.com/news/national/other-states/Mayawati-launches-welfare-scheme-for-poor/article15672368.ece"/>
    <hyperlink ref="Z89" r:id="rId88" display="https://www.newindianexpress.com/states/kerala/2019/Apr/09/legacy-lingers-post-km-manis-death-1962419.html"/>
    <hyperlink ref="Z90" r:id="rId89" display="https://www.thehindu.com/news/national/kerala/Rice-at-Rs.-2-a-kg-in-a-day-or-two/article14689272.ece"/>
    <hyperlink ref="Z91" r:id="rId90" display="https://frontline.thehindu.com/politics/playing-the-piper/article5389646.ece"/>
    <hyperlink ref="Z92" r:id="rId91" display="https://www.indiatoday.in/india/north/story/up-mayawati-gifts-699-welfare-schemes-projects-on-bday-126665-2011-01-15"/>
    <hyperlink ref="Z93" r:id="rId92" display="https://www.indiabudget.gov.in/budget2011-2012/ub2011-12/bs/bs.pdf"/>
    <hyperlink ref="Z94" r:id="rId93" display="https://indianexpress.com/article/india/india-news-india/a-little-bit-more-how-ammas-freebies-compare-to-what-shes-offered-before-2787325/"/>
    <hyperlink ref="Z95" r:id="rId94" display="https://www.thehindu.com/news/national/rs1000crore-central-aid-for-quakehit-sikkim/article2497796.ece"/>
    <hyperlink ref="Z96" r:id="rId95" display="https://www.newindianexpress.com/states/tamil-nadu/2016/Feb/04/100-percentage-free-laptops-distributed-to-all-888402.html"/>
    <hyperlink ref="Z97" r:id="rId96" display="https://indianexpress.com/article/explained/explained-rajasthan-free-medicine-scheme-5827614/"/>
    <hyperlink ref="Z98" r:id="rId97" display="https://www.downtoearth.org.in/environment/drought-of-equity-40606"/>
    <hyperlink ref="Z99" r:id="rId98" display="https://indianexpress.com/article/cities/lucknow/free-laptops-cag-punches-holes-says-excessively-funded-yet-short-of-target/"/>
    <hyperlink ref="Z100" r:id="rId99" display="https://www.thehindu.com/news/national/tamil-nadu/rs-500crore-cyclone-relief-from-centre/article2790513.ece"/>
    <hyperlink ref="Z101" r:id="rId100" display="https://timesofindia.indiatimes.com/city/goa/griha-aadhar-scheme-to-be-launched-today/articleshow/17879571.cms"/>
    <hyperlink ref="Z102" r:id="rId101" display="https://www.thehindu.com/news/national/slew-of-populist-measures-by-akhilesh-on-day-1/article2998039.ece"/>
    <hyperlink ref="Z103" r:id="rId102" display="https://www.rediff.com/news/slide-show/slide-show-1-assam-floods-77-dead-pm-announces-rs-500-crore-aid/20120702.htm"/>
    <hyperlink ref="Z104" r:id="rId103" display="https://www.livemint.com/Politics/bS3giFXXxO7vUaLtUmJLBK/Chhattisgarh-food-security-Bill-puts-UPA-under-pressure.html"/>
    <hyperlink ref="Z105" r:id="rId104" display="https://www.indiatoday.in/india/north/story/sheila-dikshit-rs-600-per-month-dal-roti-chawal-family-of-five-india-today-124449-2012-12-15"/>
    <hyperlink ref="Z106" r:id="rId105" display="https://www.thehindu.com/news/national/himachal-pradesh/himachal-multi-crore-scholarship-scam-cbi-files-charge-sheet-against-20-institutes-105-individuals/article68005966.ece"/>
    <hyperlink ref="Z107" r:id="rId106" display="https://www.thehindu.com/todays-paper/direct-benefit-transfer-scheme-finally-gets-going/article4281371.ece"/>
    <hyperlink ref="Z108" r:id="rId107" display="https://www.indiabudget.gov.in/budget2013-2014/ub2013-14/bs/bs.pdf"/>
    <hyperlink ref="Z109" r:id="rId108" display="https://frontline.thehindu.com/the-nation/egg-on-the-face/article8182741.ece"/>
    <hyperlink ref="Z110" r:id="rId109" display="https://www.downtoearth.org.in/governance/how-tamil-nadu-s-amma-canteen-scheme-stood-the-test-of-time-77776"/>
    <hyperlink ref="Z111" r:id="rId110" display="https://www.indiabudget.gov.in/budget2013-2014/es2012-13/echap-13.pdf"/>
    <hyperlink ref="Z112" r:id="rId111" display="https://timesofindia.indiatimes.com/city/bhopal/madhya-pradesh-using-its-finances-for-annapurna-scheme-govt/articleshow/20434115.cms"/>
    <hyperlink ref="Z113" r:id="rId112" display="https://www.newindianexpress.com/elections/rajasthan-elections/2018/Dec/11/vasundhara-raje-maharani-cms-raj-loses-to-congress-to-fight-another-day-1910126.html"/>
    <hyperlink ref="Z114" r:id="rId113" display="https://www.newindianexpress.com/states/karnataka/2013/Aug/26/karnataka-to-sell-wheat-millets-at-re.1-per-kg-to-poor-510572.html"/>
    <hyperlink ref="Z115" r:id="rId114" display="https://www.thehindu.com/business/Economy/lpg-subsidy-to-be-credited-directly-in-bank-accounts-from-june-1-in-18-districts/article4762963.ece"/>
    <hyperlink ref="Z116" r:id="rId115" display="https://www.business-standard.com/article/specials/uttarakhand-donations-top-rs-180-crore-113070500577_1.html"/>
    <hyperlink ref="Z117" r:id="rId116" display="https://www.livemint.com/Politics/F94DyJe65ya152ypFp15gO/CAG-report-slams-Uttarakhand-govt.html"/>
    <hyperlink ref="Z118" r:id="rId117" display="https://www.thehindu.com/news/national/other-states/pm-announces-rs-1000-cr-relief-for-uttarakhand/article4829561.ece"/>
    <hyperlink ref="Z119" r:id="rId118" display="https://frontline.thehindu.com/the-nation/food-for-security/article5085111.ece"/>
    <hyperlink ref="Z120" r:id="rId119" display="https://www.newindianexpress.com/states/karnataka/2013/Aug/26/karnataka-to-sell-wheat-millets-at-re.1-per-kg-to-poor-510572.html"/>
    <hyperlink ref="Z121" r:id="rId120" display="https://m.economictimes.com/news/economy/policy/government-announces-seventh-central-pay-commission/articleshow/23038399.cms"/>
    <hyperlink ref="Z122" r:id="rId121" display="https://frontline.thehindu.com/environment/after-phailin/article5281245.ece"/>
    <hyperlink ref="Z123" r:id="rId122" display="https://www.thehindu.com/news/national/bengal-assistance-for-marriage-of-poor-women/article22613215.ece"/>
    <hyperlink ref="Z124" r:id="rId123" display="https://www.thehindu.com/news/national/other-states/centre-approves-rs-7346-crore-compensation-package-for-uttarakhand/article5444877.ece"/>
    <hyperlink ref="Z125" r:id="rId124" display="https://indianexpress.com/article/india/india-others/cabinet-accepts-rahul-gandhis-lpg-subsidy-demand-increases-cap-from-9-to-12/"/>
    <hyperlink ref="Z126" r:id="rId125" display="https://indianexpress.com/article/cities/mumbai/power-tariff-in-maharashtra-will-remain-higher-than-other-states/"/>
    <hyperlink ref="Z127" r:id="rId126" display="https://www.indiabudget.gov.in/budget2014-2015(I)/ub2014-15/bs/bs.pdf"/>
    <hyperlink ref="Z128" r:id="rId127" display="https://www.indiabudget.gov.in/budget2014-2015(I)/ub2014-15/bs/bs.pdf"/>
    <hyperlink ref="Z129" r:id="rId128" display="https://www.thehindu.com/news/national/other-states/dont-force-farmers-to-repay-loans-hc-tells-maharashtra-government/article5815873.ece"/>
    <hyperlink ref="Z130" r:id="rId129" display="https://www.downtoearth.org.in/environment/farmers-in-telangana-protest-cap-on-farm-loan-waiver-44651"/>
    <hyperlink ref="Z131" r:id="rId130" display="https://www.downtoearth.org.in/environment/andhra-pradesh-announces-rs-43000-crore-loan-waiver-45418"/>
    <hyperlink ref="Z132" r:id="rId131" display="https://www.pib.gov.in/PressReleasePage.aspx?PRID=2161401"/>
    <hyperlink ref="Z133" r:id="rId132" display="https://www.rediff.com/business/slide-show/slide-show-1-bhamashah-a-scheme-to-trump-aadhaar-in-rajasthan/20140818.htm"/>
    <hyperlink ref="Z134" r:id="rId133" display="https://www.hindustantimes.com/india/pm-modi-visits-siachen-spends-time-with-soldiers-on-diwali/story-QdGzHCfbWY9FYglkYdGUbL.html"/>
    <hyperlink ref="Z135" r:id="rId134" display="https://www.thehindu.com/news/national/Jammu-and-Kahsmir-floods-Omar-Abdullah-announces-relief-package/article60345806.ece"/>
    <hyperlink ref="Z136" r:id="rId135" display="https://www.business-standard.com/article/economy-policy/naveen-announces-pucca-houses-for-odisha-s-rural-inhabitants-114091101168_1.html"/>
    <hyperlink ref="Z137" r:id="rId136" display="https://indianexpress.com/article/india/india-others/pm-arrives-in-visakhapatnam-to-survey-cyclone-hit-areas/"/>
    <hyperlink ref="Z138" r:id="rId137" display="https://www.pmindia.gov.in/en/news_updates/pm-meets-various-groups-of-flood-affected-people-in-srinagar-listens-to-their-problems-and-suggestions/"/>
    <hyperlink ref="Z139" r:id="rId138" display="https://energy.economictimes.indiatimes.com/news/pahal-enters-guinness-book-of-world-records-as-the-largest-cash-transfer-program/48470924"/>
    <hyperlink ref="Z140" r:id="rId139" display="https://www.tribuneindia.com/news/archive/community/power-bill-waiver-only-for-hail-hit-farmers-khattar-62029/"/>
    <hyperlink ref="Z141" r:id="rId140" display="https://bucketapi.rajyasabha.digital/public-bucket/uploads/committee/2026_08_21_committee_3339_976_6a881941b462a.pdf"/>
    <hyperlink ref="Z142" r:id="rId141" display="https://indianexpress.com/article/cities/kolkata/had-contested-with-800-projects-after-kanyashree-bengal-govt-bags-wsis-award-for-its-sabuj-sathi-scheme-6589951/"/>
    <hyperlink ref="Z143" r:id="rId142" display="https://www.indiabudget.gov.in/budget2015-2016/ub2015-16/bs/bs.pdf"/>
    <hyperlink ref="Z144" r:id="rId143" display="https://www.indiatoday.in/assembly-elections-2015/bihar-polls/photo/bihar-celebrates-as-pm-modi-declares-special-package-worth-rs-125-lakh-crore-375906-2015-08-18"/>
    <hyperlink ref="Z145" r:id="rId144" display="https://www.thehindu.com/news/national/gogoi-announces-rs-862crore-largesse-for-assam/article7692497.ece"/>
    <hyperlink ref="Z146" r:id="rId145" display="https://www.rediff.com/news/report/government-announces-one-rank-one-pension-for-ex-servicemen/20150905.htm"/>
    <hyperlink ref="Z147" r:id="rId146" display="https://www.etvbharat.com/en/bharat/funding-delays-and-missing-mou-stall-ladli-beti-scheme-in-jammu-kashmir-enn26080704343"/>
    <hyperlink ref="Z148" r:id="rId147" display="https://www.pmindia.gov.in/en/news_updates/highlights-of-prime-ministers-development-package-for-jammu-and-kashmir/"/>
    <hyperlink ref="Z149" r:id="rId148" display="https://www.bbc.com/news/world-asia-india-35024134"/>
    <hyperlink ref="Z150" r:id="rId149" display="https://www.pmindia.gov.in/en/news_updates/cabinet-approves-implementation-of-the-pradhan-mantri-awaas-yojana-gramin-pmay-g-during-fy-2024-25-to-2028-29/"/>
    <hyperlink ref="Z151" r:id="rId150" display="https://prsindia.org/files/budget/budget_parliament/2025/DFG_Analysis_2025-26_Agriculture_&amp;_Farmers_Welfare.pdf"/>
    <hyperlink ref="Z152" r:id="rId151" display="https://www.hindustantimes.com/punjab/the-politics-of-populism-it-s-dole-time-in-punjab/story-mD67SuOSi9vdlkTEE11SbN.html"/>
    <hyperlink ref="Z153" r:id="rId152" display="https://indianexpress.com/article/cities/kolkata/mamatas-masterstroke-ahead-of-polls-foodgrain-at-rs-2kg-for-80-of-bengal-population/"/>
    <hyperlink ref="Z154" r:id="rId153" display="https://www.thehindu.com/news/cities/Delhi/One-year-of-AAP-Kejriwal-waives-Delhi-water-bills-till-November/article60580066.ece"/>
    <hyperlink ref="Z155" r:id="rId154" display="https://www.deccanchronicle.com/nation/current-affairs/130216/kerala-budget-2016-it-read-more-like-a-poll-manifesto.html"/>
    <hyperlink ref="Z156" r:id="rId155" display="https://indianexpress.com/article/cities/lucknow/centres-offer-for-drought-hit-bundelkhand-up-rejects-water-trains-wants-tankers-2786560/"/>
    <hyperlink ref="Z157" r:id="rId156" display="https://timesofindia.indiatimes.com/india/cm-for-a-night-harish-rawat-clears-11-schemes-in-2-cabinet-meets/articleshow/51950982.cms"/>
    <hyperlink ref="Z158" r:id="rId157" display="https://www.thehindu.com/news/national/Declaration-of-drought-Define-time-limit-Supreme-Court-tells-Centre/article60512906.ece"/>
    <hyperlink ref="Z159" r:id="rId158" display="https://www.indiatoday.in/india/uttar-pradesh/story/bjp-kickstarts-its-mission-up-with-pm-modis-ballia-visit-321006-2016-05-01"/>
    <hyperlink ref="Z160" r:id="rId159" display="https://www.business-standard.com/article/politics/jayalalithaa-keeps-five-poll-promises-on-day-1-116052300523_1.html"/>
    <hyperlink ref="Z161" r:id="rId160" display="https://timesofindia.indiatimes.com/uttar-pradesh/meritorious-girl-students-to-be-given-rs-30000-in-up/articleshow/53718793.cms"/>
    <hyperlink ref="Z162" r:id="rId161" display="https://indianexpress.com/article/india/yogi-scraps-smartphone-scheme-of-sp-4618629/"/>
    <hyperlink ref="Z163" r:id="rId162" display="https://indianexpress.com/article/explained/maternity-benefit-scheme-what-pm-modi-said-where-things-stand-now-4459269/"/>
    <hyperlink ref="Z164" r:id="rId163" display="https://www.indiabudget.gov.in/budget2017-2018/ub2017-18/bs/bs.pdf"/>
    <hyperlink ref="Z165" r:id="rId164" display="https://timesofindia.indiatimes.com/elections/news/dont-announce-any-scheme-for-poll-bound-states-in-union-budget-ec-tells-government/articleshow/56742740.cms"/>
    <hyperlink ref="Z166" r:id="rId165" display="https://www.tribuneindia.com/news/archive/community/sukhu-launches-allowance-scheme-for-jobless-391056/"/>
    <hyperlink ref="Z167" r:id="rId166" display="https://www.thehindu.com/news/national/other-states/yogi-waives-farm-loans-up-to-rs-1-lakh/article61798537.ece"/>
    <hyperlink ref="Z168" r:id="rId167" display="https://timesofindia.indiatimes.com/india/now-karnataka-waives-loans-of-22-lakh-farmers/articleshow/59260867.cms"/>
    <hyperlink ref="Z169" r:id="rId168" display="https://timesofindia.indiatimes.com/city/mumbai/fadnavis-announces-rs-34022cr-loan-waiver-to-aid-89l-farmers/articleshow/59304696.cms"/>
    <hyperlink ref="Z170" r:id="rId169" display="https://indianexpress.com/article/india/karnataka-gets-indira-canteens-breakfast-for-rs-5-lunch-for-rs-10-4800143/"/>
    <hyperlink ref="Z171" r:id="rId170" display="https://indianexpress.com/article/north-east-india/tripura/tripura-identifies-60000-fake-ration-card-holders-detects-ineligible-social-security-pension-beneficiaries-5355053/"/>
    <hyperlink ref="Z172" r:id="rId171" display="https://www.hindustantimes.com/punjab/punjab-begins-farm-debt-waiver-farmers-aap-protest/story-tm9rhL84ScLBmyBoD19BFL.html"/>
    <hyperlink ref="Z173" r:id="rId172" display="https://www.thehindu.com/news/national/bengal-assistance-for-marriage-of-poor-women/article22613215.ece"/>
    <hyperlink ref="Z174" r:id="rId173" display="https://www.indiabudget.gov.in/budget2018-2019/ub2018-19/bs/bs.pdf"/>
    <hyperlink ref="Z175" r:id="rId174" display="https://timesofindia.indiatimes.com/india/rajasthan-announces-loan-waiver-for-farmers-to-cost-rs-8000-crore/articleshow/62887502.cms"/>
    <hyperlink ref="Z176" r:id="rId175" display="https://timesofindia.indiatimes.com/city/hyderabad/k-chandrasekhar-rao-rolls-out-rythu-bandhu-sop-a-balm-for-58-lakh-farmers/articleshow/64119910.cms"/>
    <hyperlink ref="Z177" r:id="rId176" display="https://energy.economictimes.indiatimes.com/news/power/mp-power-schemes-over-38-lakh-people-register-in-10-days/64946133"/>
    <hyperlink ref="Z178" r:id="rId177" display="https://indianexpress.com/article/india/dual-sim-smartphones-for-50-lakh-chhattisgarh-beneficiaries-under-sanchar-kranti-yojana-5280052/"/>
    <hyperlink ref="Z179" r:id="rId178" display="https://prsindia.org/budgets/states/karnataka-budget-analysis-2018-19"/>
    <hyperlink ref="Z180" r:id="rId179" display="https://www.thehindu.com/news/national/kerala/sc-junks-kerala-order-on-salary-challenge/article25362589.ece"/>
    <hyperlink ref="Z181" r:id="rId180" display="https://www.thehindu.com/news/national/pm-modi-launches-ayushman-bharat-scheme/article25020146.ece"/>
    <hyperlink ref="Z182" r:id="rId181" display="https://www.thenewsminute.com/andhra-pradesh/cyclone-titli-central-team-meets-andhra-cm-naidu-urges-quick-release-aid-90642"/>
    <hyperlink ref="Z183" r:id="rId182" display="https://www.thehindu.com/news/national/kerala-to-get-3048-crore-as-flood-relief/article25682123.ece"/>
    <hyperlink ref="Z184" r:id="rId183" display="https://www.thehindu.com/news/national/mp-cm-kamal-nath-waives-off-farm-loans-up-to-2-lakh/article62015750.ece"/>
    <hyperlink ref="Z185" r:id="rId184" display="https://indianexpress.com/article/india/odisha-cm-skips-loan-waiver-declares-financial-aide-for-farmers-5504787/"/>
    <hyperlink ref="Z186" r:id="rId185" display="https://www.thenewsminute.com/tamil-nadu/cyclone-gaja-centre-clears-rs-1146-crore-relief-tamil-nadu-94333"/>
    <hyperlink ref="Z187" r:id="rId186" display="https://indianexpress.com/article/cities/kolkata/krishak-bandhu-scheme-rs-500-crore-disbursed-to-37-lakh-farmers-in-eight-months-6079520/"/>
    <hyperlink ref="Z188" r:id="rId187" display="https://prsindia.org/budgets/states/andhra-pradesh-budget-analysis-2019-2020"/>
    <hyperlink ref="Z189" r:id="rId188" display="https://prsindia.org/budgets/states/chhattisgarh-budget-analysis-2019-20"/>
    <hyperlink ref="Z190" r:id="rId189" display="https://indianexpress.com/article/cities/chandigarh/haryanas-mukhya-mantri-parivar-samridhi-yojana-maximum-poor-families-availing-benefits-are-from-richest-districts-7369790/"/>
    <hyperlink ref="Z191" r:id="rId190" display="https://www.livemint.com/Politics/f8v46qvKEfV9lKm4QUmfHI/Lok-Sabha-clears-quota-bill-with-nearfull-majority.html"/>
    <hyperlink ref="Z192" r:id="rId191" display="https://www.indiatoday.in/education-today/gk-%26-current-affairs/story/sikkim-launches-one-family-one-job-scheme-1430035-2019-01-13"/>
    <hyperlink ref="Z193" r:id="rId192" display="https://www.hindustantimes.com/india-news/jagan-reddy-scraps-chandrababu-naidu-s-farmer-scheme-unveils-new-plan/story-nW2TalpA9nXev1sh7MRobN.html"/>
    <hyperlink ref="Z194" r:id="rId193" display="https://indianexpress.com/article/india/pasupu-kumkuma-andhra-govt-scheme-for-women-gets-ec-nod-5659477/"/>
    <hyperlink ref="Z195" r:id="rId194" display="https://prsindia.org/budgets/states/haryana-budget-analysis-2019-20"/>
    <hyperlink ref="Z196" r:id="rId195" display="https://www.indiabudget.gov.in/budget2019-20(I)/ub2019-20/bs/bs.pdf"/>
    <hyperlink ref="Z197" r:id="rId196" display="https://www.hindustantimes.com/india-news/lok-sabha-elections-2019-pm-modi-launches-direct-cash-benefit-scheme-for-farmers/story-pMWZuh8iPInFUJFjZXiWqI.html"/>
    <hyperlink ref="Z198" r:id="rId197" display="https://www.indiabudget.gov.in/budget2019-20(I)/ub2019-20/bs/bs.pdf"/>
    <hyperlink ref="Z199" r:id="rId198" display="https://www.hindustantimes.com/ranchi/jharkhand-s-5-2-lakh-farmers-get-first-instalment-of-centre-s-kisan-income-scheme/story-wMrzBDMWDr8FokdH7914dK.html"/>
    <hyperlink ref="Z200" r:id="rId199" display="https://indianexpress.com/article/cities/chennai/tamil-nadu-cm-assembly-k-palaniswami-dmk-bpl-dole-5580248/"/>
    <hyperlink ref="Z201" r:id="rId200" display="https://pib.gov.in/Pressreleaseshare.aspx?PRID=1845839"/>
    <hyperlink ref="Z202" r:id="rId201" display="https://scroll.in/latest/921936/cyclone-fani-tourists-told-to-leave-puri-by-tomorrow-ec-lifts-model-code-in-11-odisha-districts"/>
    <hyperlink ref="Z203" r:id="rId202" display="https://timesofindia.indiatimes.com/india/cyclone-fani-toll-jumps-to-34-in-odisha-cm-naveen-patnaik-announces-relief-package/articleshow/69190600.cms"/>
    <hyperlink ref="Z204" r:id="rId203" display="https://prsindia.org/budgets/states/maharashtra-budget-analysis-2019-20"/>
    <hyperlink ref="Z205" r:id="rId204" display="https://www.thehindu.com/news/national/other-states/free-electricity-for-delhiites-using-up-to-200-units/article28789468.ece"/>
    <hyperlink ref="Z206" r:id="rId205" display="https://www.hindustantimes.com/mumbai-news/state-to-waive-farmers-loans-rebuild-homes-relocate-people/story-QubHTVWqDOhoxAikdlJtOI.html"/>
    <hyperlink ref="Z207" r:id="rId206" display="https://indianexpress.com/article/india/how-parties-fared-in-haryana-and-maharashtra-assembly-polls-in-2014-6015815/"/>
    <hyperlink ref="Z208" r:id="rId207" display="https://timesofindia.indiatimes.com/business/india-business/pm-launches-kisan-maandhan-yojana-pension-scheme-for-traders-self-employed-things-to-know/articleshow/71095633.cms"/>
    <hyperlink ref="Z209" r:id="rId208" display="https://prsindia.org/budgets/states/telangana-budget-analysis-2019-20"/>
    <hyperlink ref="Z210" r:id="rId209" display="https://timesofindia.indiatimes.com/city/vijayawada/cm-launches-rythu-bharosa-calls-it-his-token-of-gratitude/articleshow/71604166.cms"/>
    <hyperlink ref="Z211" r:id="rId210" display="https://www.aljazeera.com/news/2019/10/29/pink-tickets-as-delhi-rolls-out-free-bus-travel-for-women"/>
    <hyperlink ref="Z212" r:id="rId211" display="https://frontline.thehindu.com/the-nation/article29766585.ece"/>
    <hyperlink ref="Z213" r:id="rId212" display="https://prsindia.org/budgets/states/maharashtra-budget-analysis-2020-21"/>
    <hyperlink ref="Z214" r:id="rId213" display="https://indianexpress.com/article/india/chhattisgarh-baghel-government-buying-cow-urine-make-pesticide-fertiliser-8056924/"/>
    <hyperlink ref="Z215" r:id="rId214" display="https://prsindia.org/budgets/states/chhattisgarh-budget-analysis-2020-21"/>
    <hyperlink ref="Z216" r:id="rId215" display="https://energy.economictimes.indiatimes.com/news/oil-and-gas/himachal-becomes-first-state-where-cent-pc-households-have-gas-connection-cm/76815307"/>
    <hyperlink ref="Z217" r:id="rId216" display="https://timesofindia.indiatimes.com/city/mumbai/only-24-of-rs-799cr-in-cms-covid-fund-has-been-used-rti/articleshow/87857043.cms"/>
    <hyperlink ref="Z218" r:id="rId217" display="https://www.newindianexpress.com/states/andhra-pradesh/2020/Jan/09/andhra-cm-launches-amma-vodi-scheme-in-chittoor-district-2087331.html"/>
    <hyperlink ref="Z219" r:id="rId218" display="https://indianexpress.com/article/pune/lpg-crunch-unpaid-dues-pune-shiv-bhojan-thali-centres-brink-10587369/"/>
    <hyperlink ref="Z220" r:id="rId219" display="https://pmcares.gov.in/assets/donation/pdf/Audited%20Statement.PDF"/>
    <hyperlink ref="Z221" r:id="rId220" display="https://www.newindianexpress.com/india/2025/Feb/07/profession-wise-covid-19-death-data-not-maintained-centrally-no-martyrs-status-centre-tells-lok-sabha"/>
    <hyperlink ref="Z222" r:id="rId221" display="https://factly.in/data-what-is-the-state-wise-coverage-of-women-pmjdy-account-holders-under-pmgky/"/>
    <hyperlink ref="Z223" r:id="rId222" display="https://www.business-standard.com/article/news-ani/pm-ministers-mps-to-get-30-pc-less-salary-mplad-funds-suspended-for-2-years-120040600896_1.html"/>
    <hyperlink ref="Z224" r:id="rId223" display="https://www.thenewsminute.com/kerala/pinarayi-government-s-pandemic-food-kits-have-struck-chord-people-145620"/>
    <hyperlink ref="Z225" r:id="rId224" display="https://timesofindia.indiatimes.com/city/hyderabad/76-lakh-ration-card-holders-get-rs-1-5k-each/articleshow/75149411.cms"/>
    <hyperlink ref="Z226" r:id="rId225" display="https://www.newindianexpress.com/india/2020/Apr/10/covid-19-lockdown-cm-yogi-releases-rs-482-crore-as-maintenance-allowance-for-five-lakh-labourers-2128406.html"/>
    <hyperlink ref="Z227" r:id="rId226" display="https://indianexpress.com/article/explained/explainspeaking-why-the-atmanirbhar-bharat-abhiyan-economic-package-is-being-criticised-6414905/"/>
    <hyperlink ref="Z228" r:id="rId227" display="https://timesofindia.indiatimes.com/city/kolkata/bengal-inflated-amphan-relief-claim-by-32000-cr-says-cag-report/articleshow/132629782.cms"/>
    <hyperlink ref="Z229" r:id="rId228" display="https://indianexpress.com/article/political-pulse/cag-flags-cyclone-amphan-2020-relief-irregularities-tmc-west-bengal-10811195/"/>
    <hyperlink ref="Z230" r:id="rId229" display="https://timesofindia.indiatimes.com/business/india-business/pm-modi-announces-extension-of-free-ration-scheme-says-govt-working-on-one-nation-one-ration-card/articleshow/76710523.cms"/>
    <hyperlink ref="Z231" r:id="rId230" display="https://www.newindianexpress.com/india/2020/Aug/12/amarinder-launches-punjab-smart-connect-174015-class-xii-students-to-benefit-in-phase-1-2182526.html"/>
    <hyperlink ref="Z232" r:id="rId231" display="https://www.indiatoday.in/india/story/assam-eligible-newlyweds-to-get-rs-40-000-as-aid-under-arundhati-gold-scheme-1725083-2020-09-24"/>
    <hyperlink ref="Z233" r:id="rId232" display="https://prsindia.org/budgets/states/assam-budget-analysis-2026-27"/>
    <hyperlink ref="Z234" r:id="rId233" display="https://www.thehindu.com/news/cities/Hyderabad/ec-slams-brakes-on-flood-relief-grant/article33127742.ece"/>
    <hyperlink ref="Z235" r:id="rId234" display="https://www.newindianexpress.com/states/tamil-nadu/2020/Dec/20/tn-chiefministerannounces-rs-2500cashpongal-gift-kit--2238645.html"/>
    <hyperlink ref="Z236" r:id="rId235" display="https://www.livemint.com/news/india/bengal-s-duare-sarkar-reached-over-1-crore-people-in-2-weeks-cm-mamata-11608367316616.html"/>
    <hyperlink ref="Z237" r:id="rId236" display="https://timesofindia.indiatimes.com/education/news/chhattisgarh-govt-to-pay-school-fees-of-covid-orphaned-children/articleshow/83512179.cms"/>
    <hyperlink ref="Z238" r:id="rId237" display="https://bucketapi.rajyasabha.digital/public-bucket/uploads/committee/2026_08_21_committee_3339_976_6a881941b462a.pdf"/>
    <hyperlink ref="Z239" r:id="rId238" display="https://indianexpress.com/article/india/from-kbc-fame-to-corruption-arrest-tehsildar-who-sat-opposite-amitabh-bachchan-in-2019-lands-in-jail-10603907/"/>
    <hyperlink ref="Z240" r:id="rId239" display="https://www.indiatoday.in/education-today/news/story/bihar-govt-to-give-rs-50-000-to-graduate-girls-rs-25-000-to-those-who-passed-class-12-1765555-2021-02-03"/>
    <hyperlink ref="Z241" r:id="rId240" display="https://www.indiabudget.gov.in/budget2021-22/doc/Budget_Speech.pdf"/>
    <hyperlink ref="Z242" r:id="rId241" display="https://www.thehindu.com/news/national/tamil-nadu/tn-cm-announces-12110-crore-crop-loan-waiver/article33759653.ece"/>
    <hyperlink ref="Z243" r:id="rId242" display="https://www.livemint.com/news/india/rs-50k-ex-gratia-monthly-pension-delhi-govt-notifies-scheme-for-covid-victims-kin-11624405671692.html"/>
    <hyperlink ref="Z244" r:id="rId243" display="https://www.rediff.com/news/report/pm-modi-reviews-cyclone-yaas-damages-in-odisha/20210528.htm"/>
    <hyperlink ref="Z245" r:id="rId244" display="https://www.thehindu.com/news/national/over-half-of-pm-cares-for-children-scheme-applications-for-covid-orphans-rejected/article68409285.ece"/>
    <hyperlink ref="Z246" r:id="rId245" display="https://www.livemint.com/news/india/mk-stalin-s-first-orders-as-tamil-nadu-cm-rs-2-000-covid-time-relief-govt-to-bear-covid-treatment-cost-in-private-hospitals-11620377935898.html"/>
    <hyperlink ref="Z247" r:id="rId246" display="https://www.newindianexpress.com/states/tamil-nadu/2024/Nov/24/57-lakh-women-benefit-from-magalir-vidiyal-payanam-daily"/>
    <hyperlink ref="Z248" r:id="rId247" display="https://www.livelaw.in/top-stories/states-should-not-deny-ex-gratia-for-covid-deaths-on-ground-that-death-certificate-does-not-mention-covid-as-cause-of-death-supreme-court-183028"/>
    <hyperlink ref="Z249" r:id="rId248" display="https://www.pib.gov.in/PressReleasePage.aspx?PRID=1744400"/>
    <hyperlink ref="Z250" r:id="rId249" display="https://www.newindianexpress.com/states/telangana/2021/Aug/05/telangana-chief-minister-kcr-launches-dalit-bandhuin-his-very-own-vasalamarri-village-2340287.html"/>
    <hyperlink ref="Z251" r:id="rId250" display="https://indianexpress.com/article/india/goa-free-water-scheme-to-begin-today-first-state-to-do-so-pramod-sawant-7481239/"/>
    <hyperlink ref="Z252" r:id="rId251" display="https://www.business-standard.com/article/economy-policy/punjab-to-waive-pending-power-bills-of-those-having-connection-of-upto-2-kw-121092901283_1.html"/>
    <hyperlink ref="Z253" r:id="rId252" display="https://timesofindia.indiatimes.com/city/kolkata/lakshmir-bhandar-bank-transfer-from-today/articleshow/85816832.cms"/>
    <hyperlink ref="Z254" r:id="rId253" display="https://www.thehindu.com/news/national/farm-laws-repeal-bill-passed-in-rajya-sabha-by-voice-vote-in-less-than-five-minutes/article37747790.ece"/>
    <hyperlink ref="Z255" r:id="rId254" display="https://timesofindia.indiatimes.com/business/india-business/excise-duty-slashed-by-rs-10-on-diesel-rs-5-on-petrol/articleshow/87515788.cms"/>
    <hyperlink ref="Z256" r:id="rId255" display="https://www.business-standard.com/india-news/punjab-cabinet-withdraws-previous-cong-govt-s-decision-of-subsidised-power-124090500693_1.html"/>
    <hyperlink ref="Z257" r:id="rId256" display="https://www.hindustantimes.com/cities/lucknow-news/up-govt-to-start-distribution-of-free-tablets-smartphones-today-101640371641503.html"/>
    <hyperlink ref="Z258" r:id="rId257" display="https://www.thehindu.com/elections/rajasthan-assembly/ashok-gehlots-expansion-of-health-cover-under-chiranjeevi-scheme-impractical-says-bjp-leader/article67567361.ece"/>
    <hyperlink ref="Z259" r:id="rId258" display="https://indianexpress.com/article/north-east-india/tripura/tripura-identifies-60000-fake-ration-card-holders-detects-ineligible-social-security-pension-beneficiaries-5355053/"/>
    <hyperlink ref="Z260" r:id="rId259" display="https://indianexpress.com/article/cities/shimla/himachal-pradesh-statehood-day-jai-ram-thakur-announcement-free-power-7741486/"/>
    <hyperlink ref="Z261" r:id="rId260" display="https://timesofindia.indiatimes.com/business/india-business/explained-punjab-and-up-govt-are-doling-out-free-electricity-ahead-of-elections-but-who-will-bear-this-cost/articleshow/88804306.cms"/>
    <hyperlink ref="Z262" r:id="rId261" display="https://www.livelaw.in/top-stories/supreme-court-dismisses-centres-plea-against-high-court-direction-to-resume-mgnrega-scheme-in-west-bengal-307952"/>
    <hyperlink ref="Z263" r:id="rId262" display="https://indianexpress.com/article/cities/shimla/himachal-approves-50-bus-fare-concession-for-women-7938712/"/>
    <hyperlink ref="Z264" r:id="rId263" display="https://www.livelaw.in/top-stories/supreme-court-covid-19-ex-gratia-compensation-andhra-pradesh-state-disaster-relief-fund-204099"/>
    <hyperlink ref="Z265" r:id="rId264" display="https://www.newindianexpress.com/india/2022/Jul/16/recent-assam-floods-worst-ever-has-highest-ever-casualties-says-cm-himanta-as-toll-touches-195-2477299.html"/>
    <hyperlink ref="Z266" r:id="rId265" display="https://www.aninews.in/news/national/general-news/meghalaya-cm-announces-rs-5000-for-every-household-under-focus-scheme20220729141845/"/>
    <hyperlink ref="Z267" r:id="rId266" display="https://www.pmindia.gov.in/en/news_updates/cabinet-approves-continuation-of-pradhan-mantri-awas-yojana-urban-pmay-u-housing-for-all-mission-up-to-31st-december-2024/"/>
    <hyperlink ref="Z268" r:id="rId267" display="https://www.thequint.com/opinion/mizoram-will-zpm-break-the-pattern-of-governments-changing-after-two-terms"/>
    <hyperlink ref="Z269" r:id="rId268" display="https://indianexpress.com/article/cities/gandhinagar/gujarat-announces-free-cylinders-pmuy-38-lakh-households-benefit-8214581/"/>
    <hyperlink ref="Z270" r:id="rId269" display="https://cmogujarat.gov.in/en/latest-news/13th-edition-of-state-wide-garib-kalyan-mela"/>
    <hyperlink ref="Z271" r:id="rId270" display="https://indianexpress.com/article/india/224-blocks-in-22-jharkhand-districts-declared-drought-hit-8237677/"/>
    <hyperlink ref="Z272" r:id="rId271" display="https://timesofindia.indiatimes.com/city/pune/no-anandacha-shidha-this-diwali-owing-to-financial-crunch-in-state/articleshow/124347787.cms"/>
    <hyperlink ref="Z273" r:id="rId272" display="https://bfsi.economictimes.indiatimes.com/news/insurance/nagaland-launches-universal-health-insurance-scheme/94871385"/>
    <hyperlink ref="Z274" r:id="rId273" display="https://indianexpress.com/article/political-pulse/decode-politics-why-pm-modi-is-talking-of-bandarbant-in-himachal-9360120/"/>
    <hyperlink ref="Z275" r:id="rId274" display="https://www.pib.gov.in/PressReleaseIframePage.aspx?PRID=1990696"/>
    <hyperlink ref="Z276" r:id="rId275" display="https://indianexpress.com/article/political-pulse/mp-shivraj-hopes-women-beat-anti-incumbency-money-purse-8983165/"/>
    <hyperlink ref="Z277" r:id="rId276" display="https://www.newindianexpress.com/india/2024/Jun/02/bjp-capitalises-on-weakened-opposition-in-arunachal-welfare-schemes-do-wonders-for-skm-in-sikkim"/>
    <hyperlink ref="Z278" r:id="rId277" display="https://www.thehindu.com/news/national/other-states/himachal-pradesh-decides-to-restores-ops-for-its-employees/article66373793.ece"/>
    <hyperlink ref="Z279" r:id="rId278" display="https://timesofindia.indiatimes.com/city/dehradun/uttarakhand-increases-joshimath-aid-30x-to-1-5l-per-family/articleshow/96920948.cms"/>
    <hyperlink ref="Z280" r:id="rId279" display="https://thesouthfirst.com/karnataka/free-bus-passes-waivers-grants-incentives-revdi-by-bjp-government-in-karnataka-budget-2023/"/>
    <hyperlink ref="Z281" r:id="rId280" display="https://timesofindia.indiatimes.com/india/prime-minister-narendra-modi-inaugurates-shivamogga-airport-in-karnataka-road-show-belagavi-farmers/articleshow/98263230.cms"/>
    <hyperlink ref="Z282" r:id="rId281" display="https://www.indiabudget.gov.in/budget2023-24/doc/Budget_Speech.pdf"/>
    <hyperlink ref="Z283" r:id="rId282" display="https://www.indiatoday.in/india-today-insight/story/why-nitish-declared-compensation-for-all-hooch-deaths-since-prohibition-in-bihar-2364115-2023-04-24"/>
    <hyperlink ref="Z284" r:id="rId283" display="https://theprint.in/ground-reports/gehlot-gives-gas-power-pension-under-mehngai-rahat-now-people-wait-for-cellphones/1719632/"/>
    <hyperlink ref="Z285" r:id="rId284" display="https://prsindia.org/budgets/states/karnataka-budget-analysis-2026-27"/>
    <hyperlink ref="Z286" r:id="rId285" display="https://timesofindia.indiatimes.com/city/bengaluru/shakti-dues-govt-clears-rs-11748cr-still-owes-rs-4006cr-to-rtcs/articleshow/126096209.cms"/>
    <hyperlink ref="Z287" r:id="rId286" display="https://indianexpress.com/article/cities/bhopal/chouhan-keeps-ladli-behna-promise-transfers-rs-1000-to-1-25-cr-beneficiaries-8656399/"/>
    <hyperlink ref="Z288" r:id="rId287" display="https://timesofindia.indiatimes.com/city/bengaluru/karnataka-to-give-cash-instead-of-5-kg-additional-rice/articleshow/101351348.cms"/>
    <hyperlink ref="Z289" r:id="rId288" display="https://www.thehindu.com/news/national/rajasthan-assembly-passes-bills-on-minimum-income-higher-punishment-for-paper-leaks/article67106940.ece"/>
    <hyperlink ref="Z290" r:id="rId289" display="https://indianexpress.com/article/cities/bangalore/cong-to-replicate-karnatakas-gruha-lakhmi-cash-transfer-scheme-for-women-across-india-rahul-gandhi-8916189/"/>
    <hyperlink ref="Z291" r:id="rId290" display="https://timesofindia.indiatimes.com/city/bhopal/cabinet-approves-mauganj-as-53rd-district-of-mp-6k/yr-for-farmers/articleshow/102665688.cms"/>
    <hyperlink ref="Z292" r:id="rId291" display="https://indianexpress.com/article/cities/jaipur/rajasthan-puts-gehlots-free-smartphone-scheme-on-hold-9124729/"/>
    <hyperlink ref="Z293" r:id="rId292" display="https://indianexpress.com/article/political-pulse/kcr-2018-farm-loan-waiver-promise-polls-bjp-cry-foul-8874277/"/>
    <hyperlink ref="Z294" r:id="rId293" display="https://indianexpress.com/article/cities/lucknow/mukhyamantri-kanya-sumangla-yojana-rakhi-gift-underprivileged-girls-to-get-rs-10000-more-8917022/"/>
    <hyperlink ref="Z295" r:id="rId294" display="https://pib.gov.in/PressNoteDetails.aspx?NoteId=159998&amp;ModuleId=3&amp;reg=3&amp;lang=1"/>
    <hyperlink ref="Z296" r:id="rId295" display="https://legal.economictimes.indiatimes.com/news/law-policy/womens-reservation-bill-passed-with-215-0-majority-in-rajya-sabha/103845840"/>
    <hyperlink ref="Z297" r:id="rId296" display="https://www.newindianexpress.com/states/tamil-nadu/2023/Sep/15/tn-cm-stalin-launches-first-of-its-kind-scheme-for-women-2615143.html"/>
    <hyperlink ref="Z298" r:id="rId297" display="https://newsonair.gov.in/union-cabinet-approves-govts-decision-to-increase-lpg-subsidy-per-cylinder-by-rs-100-for-ujjwala-yojana-beneficiaries-ib-minister-anurag-singh-thakur/"/>
    <hyperlink ref="Z299" r:id="rId298" display="https://www.pmindia.gov.in/en/news_updates/pm-lays-foundation-stone-and-dedicates-to-nation-multiple-development-projects-worth-about-rs-7500-crores-in-shirdi-maharashtra/"/>
    <hyperlink ref="Z300" r:id="rId299" display="https://m.economictimes.com/jobs/government-jobs/meghalaya-cm-launches-cm-elevate-program-to-address-youth-unemployment/articleshow/104502176.cms"/>
    <hyperlink ref="Z301" r:id="rId300" display="https://www.hindustantimes.com/india-news/central-assistance-for-flood-hit-sikkim-triggers-political-slugfest-in-bengal-101696766782401.html"/>
    <hyperlink ref="Z302" r:id="rId301" display="https://www.thehindu.com/elections/chhattisgarh-assembly/chhattisgarh-polls-bjp-promises-sops-for-married-women-landless-farm-labourers-lpg-cylinder-at-500/article67493270.ece"/>
    <hyperlink ref="Z303" r:id="rId302" display="https://www.hindustantimes.com/india-news/freeration-scheme-will-be-extended-for-next-5-years-pm-modi-in-poll-bound-chhattisgarh-madhya-pradesh-101699099169144.html"/>
    <hyperlink ref="Z304" r:id="rId303" display="https://timesofindia.indiatimes.com/india/congress-attacks-brs-over-ecs-withdrawal-of-permission-for-giving-aid-to-telangana-farmers/articleshow/105530026.cms"/>
    <hyperlink ref="Z305" r:id="rId304" display="https://prsindia.org/budgets/states/telangana-budget-analysis-2024-25"/>
    <hyperlink ref="Z306" r:id="rId305" display="https://prsindia.org/budgets/states/telangana-budget-analysis-2026-27"/>
    <hyperlink ref="Z307" r:id="rId306" display="https://www.newindianexpress.com/states/tamil-nadu/2023/Dec/22/567-lakh-families-applyfor-rs-6000-michaungrelief-in-tn-92-receive-aid-2643834.html"/>
    <hyperlink ref="Z308" r:id="rId307" display="https://www.thehindu.com/news/national/gujarat/gujarats-namo-lakshmi-yojana-disburses-924-crore-benefits-over-10-lakh-girl-students/article69796544.ece"/>
    <hyperlink ref="Z309" r:id="rId308" display="https://www.hindustantimes.com/india-news/dont-disburse-14-000cr-among-beneficiaries-before-polling-eci-tells-andhra-cm-101715253041498.html"/>
    <hyperlink ref="Z310" r:id="rId309" display="https://indianexpress.com/article/political-pulse/polls-bihar-rs-2-lakh-5-yrs-94-lakh-poor-families-9114191/"/>
    <hyperlink ref="Z311" r:id="rId310" display="https://timesofindia.indiatimes.com/city/chandigarh/handful-still-handy-why-haryana-parties-love-wooing-the-old/articleshow/112710215.cms"/>
    <hyperlink ref="Z312" r:id="rId311" display="https://www.thehindu.com/news/national/other-states/rajasthan-announces-ujjwala-yojanas-lpg-cylinder-supply-at-450/article67680668.ece"/>
    <hyperlink ref="Z313" r:id="rId312" display="https://timesofindia.indiatimes.com/city/ahmedabad/govt-announces-scheme-for-women-with-very-high-risk-pregnancies/articleshow/108719904.cms"/>
    <hyperlink ref="Z314" r:id="rId313" display="https://www.indiabudget.gov.in/budget2024-25(I)/doc/Budget_Speech.pdf"/>
    <hyperlink ref="Z315" r:id="rId314" display="https://www.pmindia.gov.in/en/news_updates/pm-inaugurates-and-dedicates-to-nation-multiple-development-projects-worth-more-than-rs-4900-crores-in-yavatmal-maharashtra/"/>
    <hyperlink ref="Z316" r:id="rId315" display="https://www.pmindia.gov.in/en/news_updates/cabinet-approves-pm-surya-ghar-muft-bijli-yojana-for-installing-rooftop-solar-in-one-crore-households/"/>
    <hyperlink ref="Z317" r:id="rId316" display="https://www.business-standard.com/finance/personal-finance/odisha-cm-raises-pension-for-beneficiaries-under-social-security-schemes-124021000951_1.html"/>
    <hyperlink ref="Z318" r:id="rId317" display="https://www.thehindu.com/news/national/other-states/west-bengal-state-budget-2024/article67824908.ece"/>
    <hyperlink ref="Z319" r:id="rId318" display="https://www.pib.gov.in/PressReleasePage.aspx?PRID=2013167"/>
    <hyperlink ref="Z320" r:id="rId319" display="https://indianexpress.com/article/cities/delhi/delhi-departments-notices-aap-schemes-kejriwal-9743477/"/>
    <hyperlink ref="Z321" r:id="rId320" display="https://m.economictimes.com/news/india/himachal-pradesh-clears-rs-1500-aid-for-women-in-4th-year-of-power/articleshow/131284831.cms"/>
    <hyperlink ref="Z322" r:id="rId321" display="https://indianexpress.com/article/india/pm-modi-international-womens-day-lpg-cylinder-price-cut-9202370/"/>
    <hyperlink ref="Z323" r:id="rId322" display="https://www.thenewsminute.com/karnataka/union-government-releases-rs-3454-crore-as-drought-relief-to-karnataka"/>
    <hyperlink ref="Z324" r:id="rId323" display="https://www.livemint.com/news/india/cyclone-remal-news-aizawl-mizoram-cm-lalduhoma-15-cr-for-state-relief-fund-rainfall-imd-power-weather-landslides-11716945923196.html"/>
    <hyperlink ref="Z325" r:id="rId324" display="https://timesofindia.indiatimes.com/city/mumbai/maharashtra-budget-2024-25-key-highlights/articleshow/111337334.cms"/>
    <hyperlink ref="Z326" r:id="rId325" display="https://www.businesstoday.in/india/story/92-lakh-beneficiaries-removed-from-maharashtras-ladki-bahin-yojana-after-verification-report-542573-2026-07-13"/>
    <hyperlink ref="Z327" r:id="rId326" display="https://cfo.economictimes.indiatimes.com/news/policy/pm-internship-scheme-over-165-lakh-offers-round-iii-sees-10195-joinings/132572654"/>
    <hyperlink ref="Z328" r:id="rId327" display="https://www.newindianexpress.com/states/odisha/2024/Jul/26/gjay-replaces-biju-swasthya-kalyan-yojana-as-health-takes-8-per-cent-of-odishas-budget"/>
    <hyperlink ref="Z329" r:id="rId328" display="https://timesofindia.indiatimes.com/city/hyderabad/telangana-cm-revanth-waives-more-farm-loans-to-cost-govt-2747-crore/articleshow/115851819.cms"/>
    <hyperlink ref="Z330" r:id="rId329" display="https://newsonair.gov.in/haryana-cm-nayab-singh-saini-launches-har-ghar-har-grihini-yojana/"/>
    <hyperlink ref="Z331" r:id="rId330" display="https://www.pmindia.gov.in/en/news_updates/cabinet-approves-pradhan-mantri-awas-yojana-urban-2-0-scheme/"/>
    <hyperlink ref="Z332" r:id="rId331" display="https://www.indiatoday.in/india/story/jharkhand-cabinet-meeting-hemant-soren-jharkhand-agricultural-loan-waiver-scheme-farmers-2578777-2024-08-08"/>
    <hyperlink ref="Z333" r:id="rId332" display="https://prsindia.org/files/budget/budget_state/jharkhand/2025/Jharkhand_Budget_Analysis_2025-26.pdf"/>
    <hyperlink ref="Z334" r:id="rId333" display="https://www.pmindia.gov.in/en/news_updates/cabinet-approves-health-coverage-to-all-senior-citizens-of-the-age-70-years-and-above-irrespective-of-income-under-ayushman-bharat-pradhan-mantri-jan-arogya-yojana-ab-pm-jay/"/>
    <hyperlink ref="Z335" r:id="rId334" display="https://www.thehindu.com/news/national/mizoram/mizoram-govt-presents-budget-allocation-for-flagship-scheme/article69290190.ece"/>
    <hyperlink ref="Z336" r:id="rId335" display="https://www.pmindia.gov.in/en/news_updates/pm-launches-subhadra-the-largest-women-centric-scheme-in-bhubaneswar-odisha/"/>
    <hyperlink ref="Z337" r:id="rId336" display="https://m.economictimes.com/news/india/tripura-cm-manik-saha-announces-rs-564-crore-special-package-for-flood-affected-areas/articleshow/113140943.cms"/>
    <hyperlink ref="Z338" r:id="rId337" display="https://www.thehindu.com/news/national/assam/nijut-moina-scheme-first-instalment-of-monthly-stipend-handed-over-to-girl-students-in-assam/article68724539.ece"/>
    <hyperlink ref="Z339" r:id="rId338" display="https://www.business-standard.com/elections/jharkhand-elections/jharkhand-polls-how-maiya-samman-yojana-strengthened-soren-s-grip-in-state-124112300422_1.html"/>
    <hyperlink ref="Z340" r:id="rId339" display="https://www.pmindia.gov.in/en/news_updates/pm-launches-various-initiatives-related-to-the-agricultural-and-animal-husbandry-sector-worth-around-rs-23300-crore-in-washim-maharashtra/"/>
    <hyperlink ref="Z341" r:id="rId340" display="https://www.newindianexpress.com/states/andhra-pradesh/2024/Oct/31/deepam-2-scheme-beneficiaries-to-get-free-lpg-cylinders-from-november-1"/>
    <hyperlink ref="Z342" r:id="rId341" display="https://www.thenewsminute.com/kerala/union-govt-grants-rs-26056-crore-for-rebuilding-wayanad-hit-by-landslide"/>
    <hyperlink ref="Z343" r:id="rId342" display="https://prsindia.org/files/budget/budget_state/haryana/2025/Haryana_Budget_Analysis_2025-26.pdf"/>
    <hyperlink ref="Z344" r:id="rId343" display="https://prsindia.org/budgets/states/manipur-budget-analysis-2026-27"/>
    <hyperlink ref="Z345" r:id="rId344" display="https://www.thehindu.com/news/national/government-announces-8th-pay-commission-for-central-govt-employees/article69104291.ece"/>
    <hyperlink ref="Z346" r:id="rId345" display="https://www.thehindubusinessline.com/economy/agri-business/telangana-farmers-to-receive-rs-12000-per-acre-annually-under-rythu-bharosa-scheme/article69063900.ece"/>
    <hyperlink ref="Z347" r:id="rId346" display="https://www.aninews.in/news/national/general-news/arunachal-cabinet-approves-schemes-for-women-youth-and-state-development20250218095929"/>
    <hyperlink ref="Z348" r:id="rId347" display="https://www.pib.gov.in/PressReleasePage.aspx?PRID=2105745"/>
    <hyperlink ref="Z349" r:id="rId348" display="https://www.hindustantimes.com/india-news/at-delhi-rally-modi-hails-friendliest-budget-ever-101738521936250.html"/>
    <hyperlink ref="Z350" r:id="rId349" display="https://prsindia.org/files/budget/budget_state/delhi/2025/Delhi_Budget_Analysis_2025-26.pdf"/>
    <hyperlink ref="Z351" r:id="rId350" display="https://indianexpress.com/article/india/no-centralisation-of-power-no-bias-in-funds-amit-shah-as-bill-on-disasters-passed-9906187/"/>
    <hyperlink ref="Z352" r:id="rId351" display="https://prsindia.org/files/budget/budget_state/jammu-and-kashmir/2025/J%26K_Budget_Analysis_2025-26.pdf"/>
    <hyperlink ref="Z353" r:id="rId352" display="https://newsonair.gov.in/jk-cabinet-approves-key-budget-announcements-free-power-ration-for-aay-families-pension-hike/"/>
    <hyperlink ref="Z354" r:id="rId353" display="https://thesouthfirst.com/andhrapradesh/tdp-led-andhra-government-launches-talliki-vandanam-scheme-ahead-of-first-anniversary/"/>
    <hyperlink ref="Z355" r:id="rId354" display="https://indianexpress.com/article/india/bihar-govt-increases-old-age-widow-pension-by-rs-700-per-month-10080035/"/>
    <hyperlink ref="Z356" r:id="rId355" display="https://www.newindianexpress.com/india/2025/Jun/18/centre-approves-rs-200640-crore-assistance-for-himachal-pradesh-for-post-disaster-recovery-plan"/>
    <hyperlink ref="Z357" r:id="rId356" display="https://www.newindianexpress.com/india/2025/Jul/18/bihar-cabinet-gives-nod-for-free-electricity-upto-125-units-167-crore-power-consumers-to-benefit"/>
    <hyperlink ref="Z358" r:id="rId357" display="https://www.tribuneindia.com/news/punjab/punjab-cabinet-gives-nod-to-scheme-providing-rs-10-lakh-health-cover-to-all-families"/>
    <hyperlink ref="Z359" r:id="rId358" display="https://www.newindianexpress.com/states/andhra-pradesh/2026/Aug/15/stree-shakti-turns-one-clocks-over-87-crore-trips"/>
    <hyperlink ref="Z360" r:id="rId359" display="https://m.economictimes.com/news/india/bihar-cm-transfers-rs-456-cr-to-bank-accounts-of-flood-hit-families/articleshow/123404600.cms"/>
    <hyperlink ref="Z361" r:id="rId360" display="https://www.thehindu.com/news/national/tamil-nadu/cms-breakfast-scheme-to-be-expanded-to-benefit-2059-lakh-students-says-stalin/article69972026.ece"/>
    <hyperlink ref="Z362" r:id="rId361" display="https://www.thehindu.com/elections/bihar-assembly/pm-modi-launches-bihars-mukhyamantri-mahila-rojgar-yojana/article70096776.ece"/>
    <hyperlink ref="Z363" r:id="rId362" display="https://timesofindia.indiatimes.com/india/bihar-elections-nitish-kumar-announces-interest-free-education-loans-under-student-credit-card-scheme-all-you-need-to-know/articleshow/123915868.cms"/>
    <hyperlink ref="Z364" r:id="rId363" display="https://www.tribuneindia.com/news/haryana/cm-nayab-saini-launches-deendayal-lado-lakshmi-yojana-eligible-women-to-receive-rs-2100-monthly"/>
    <hyperlink ref="Z365" r:id="rId364" display="https://www.hindustantimes.com/business/new-two-tier-gst-structure-to-kick-in-from-22-september-nirmala-sitharaman-101756917458027.html"/>
    <hyperlink ref="Z366" r:id="rId365" display="https://indianexpress.com/article/cities/chandigarh/punjab-flood-compensation-farmers-aid-10238014/"/>
    <hyperlink ref="Z367" r:id="rId366" display="https://indianexpress.com/article/cities/chandigarh/punjab-flood-relief-mann-says-shah-promised-more-mha-utlise-rs-12589-cr-sdrf-10281114/"/>
    <hyperlink ref="Z368" r:id="rId367" display="https://indianexpress.com/article/political-pulse/the-asoni-election-schemes-for-women-may-decide-assam-contest-but-price-rise-remains-a-worry-10614409/"/>
    <hyperlink ref="Z369" r:id="rId368" display="https://indianexpress.com/article/cities/thiruvananthapuram/ahead-of-local-body-polls-kerala-govt-opens-purse-strings-for-women-youth-and-pensioners-10334851/"/>
    <hyperlink ref="Z370" r:id="rId369" display="https://www.newindianexpress.com/states/kerala/2025/Oct/30/cm-pinarayi-vijayans-mini-budget-raises-questions-over-fiscal-sustainability"/>
    <hyperlink ref="Z371" r:id="rId370" display="https://ddnews.gov.in/en/pm-modi-releases-21st-instalment-of-pm-kisan-%E2%82%B918000-crore-transferred-to-farmers/"/>
    <hyperlink ref="Z372" r:id="rId371" display="https://www.hindustantimes.com/india-news/parliament-passes-new-vb-g-ram-g-bill-to-replace-mgnrega-amid-opposition-walkout-101766086029025.html"/>
    <hyperlink ref="Z373" r:id="rId372" display="https://www.newindianexpress.com/states/andhra-pradesh/2026/Sep/23/rs-33485-crore-for-ntr-bharosa-pensions-in-2026-27-minister-kondapalli-srinivas"/>
    <hyperlink ref="Z374" r:id="rId373" display="https://bucketapi.rajyasabha.digital/public-bucket/uploads/committee/2026_08_21_committee_3339_976_6a881941b462a.pdf"/>
    <hyperlink ref="Z375" r:id="rId374" display="https://www.thehindu.com/news/national/maharashtra/ladki-bahin-scheme-maharashtra-election-commission-model-code-polls/article70501117.ece"/>
    <hyperlink ref="Z376" r:id="rId375" display="https://www.newindianexpress.com/states/tamil-nadu/2026/Jan/04/tamil-nadu-government-announces-rs-3000-cash-assistance-per-ration-card-ahead-of-pongal"/>
    <hyperlink ref="Z377" r:id="rId376" display="https://www.indiabudget.gov.in/doc/Budget_Speech.pdf"/>
    <hyperlink ref="Z378" r:id="rId377" display="https://www.thehindu.com/news/national/tamil-nadu/opposition-parties-slam-tamil-nadu-cm-stalin-5000-payout-to-women-under-kalaignar-magalir-urimai-thogai-scheme/article70627629.ece"/>
    <hyperlink ref="Z379" r:id="rId378" display="https://indianexpress.com/article/cities/kolkata/ahead-of-bengal-2026-assembly-elections-tmc-govt-announces-rs-500-hike-for-lakshmir-bhandar-beneficiaries-10515653/"/>
    <hyperlink ref="Z380" r:id="rId379" display="https://timesofindia.indiatimes.com/city/kolkata/west-bengal-voa-yuba-sathi-debuts-social-schemes-get-fund-boost-in-poll-year/articleshow/127972109.cms"/>
    <hyperlink ref="Z381" r:id="rId380" display="https://prsindia.org/budgets/states/assam-budget-analysis-2026-27"/>
    <hyperlink ref="Z382" r:id="rId381" display="https://prsindia.org/budgets/states/manipur-budget-analysis-2026-27"/>
    <hyperlink ref="Z383" r:id="rId382" display="https://indianexpress.com/article/cities/chandigarh/punjab-budget-2026-women-monthly-assistance-mawan-dhiyan-satikar-yojana-10571040/"/>
    <hyperlink ref="Z384" r:id="rId383" display="https://garhwalpost.in/cm-transfers-rs-145-93-crores-to-beneficiaries-under-nanda-gaura-yojana-through-dbt/"/>
    <hyperlink ref="Z385" r:id="rId384" display="https://prsindia.org/budgets/states/kerala-budget-analysis-2026-27"/>
    <hyperlink ref="Z386" r:id="rId385" display="https://indianexpress.com/article/cities/kolkata/annapurna-yojana-first-tranche-credited-26-lakh-applications-rejected-suvendu-adhikari-10766931/"/>
    <hyperlink ref="Z387" r:id="rId386" display="https://indianexpress.com/article/explained/ayushman-bharat-launch-swasthya-sathi-west-bengal-suvendu-adhikari-10730450/"/>
    <hyperlink ref="Z388" r:id="rId387" display="https://www.newindianexpress.com/states/tamil-nadu/2026/Aug/25/tn-government-expands-free-bus-travel-for-women-to-deluxe-mofussil-buses"/>
    <hyperlink ref="Z389" r:id="rId388" display="https://timesofindia.indiatimes.com/india/uttarakhand-cm-dhami-announces-free-bus-travel-pink-e-buses-for-women-on-raksha-bandhan/articleshow/133593963.cms"/>
    <hyperlink ref="Z390" r:id="rId389" display="https://indianexpress.com/article/cities/kolkata/bengal-joins-beti-bachao-beti-padhao-suvendu-adhikari-1083437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9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8" min="2" style="0" width="18"/>
  </cols>
  <sheetData>
    <row r="1" customFormat="false" ht="26.85" hidden="false" customHeight="false" outlineLevel="0" collapsed="false">
      <c r="A1" s="6" t="s">
        <v>4279</v>
      </c>
      <c r="B1" s="6" t="s">
        <v>4280</v>
      </c>
      <c r="C1" s="6" t="s">
        <v>4281</v>
      </c>
      <c r="D1" s="6" t="s">
        <v>4282</v>
      </c>
      <c r="E1" s="6" t="s">
        <v>4283</v>
      </c>
      <c r="F1" s="6" t="s">
        <v>100</v>
      </c>
      <c r="G1" s="6" t="s">
        <v>87</v>
      </c>
      <c r="H1" s="6" t="s">
        <v>4284</v>
      </c>
    </row>
    <row r="2" customFormat="false" ht="15" hidden="false" customHeight="false" outlineLevel="0" collapsed="false">
      <c r="A2" s="9" t="n">
        <v>2000</v>
      </c>
      <c r="B2" s="9" t="n">
        <f aca="false">COUNTIFS(Ledger!$D$2:$D$390,$A2,Ledger!$F$2:$F$390,"distribution")</f>
        <v>2</v>
      </c>
      <c r="C2" s="9" t="n">
        <f aca="false">COUNTIFS(Ledger!$D$2:$D$390,$A2,Ledger!$F$2:$F$390,"relief")</f>
        <v>3</v>
      </c>
      <c r="D2" s="9" t="n">
        <f aca="false">COUNTIFS(Ledger!$D$2:$D$390,$A2,Ledger!$F$2:$F$390,"pre-election")</f>
        <v>1</v>
      </c>
      <c r="E2" s="9" t="n">
        <f aca="false">SUM(B2:D2)</f>
        <v>6</v>
      </c>
      <c r="F2" s="9" t="n">
        <f aca="false">COUNTIFS(Ledger!$D$2:$D$390,$A2,Ledger!$H$2:$H$390,"Centre")</f>
        <v>4</v>
      </c>
      <c r="G2" s="9" t="n">
        <f aca="false">COUNTIFS(Ledger!$D$2:$D$390,$A2,Ledger!$H$2:$H$390,"State")</f>
        <v>2</v>
      </c>
      <c r="H2" s="9" t="n">
        <f aca="false">COUNTIFS(Ledger!$D$2:$D$390,$A2,Ledger!$P$2:$P$390,"&lt;&gt;")</f>
        <v>1</v>
      </c>
    </row>
    <row r="3" customFormat="false" ht="15" hidden="false" customHeight="false" outlineLevel="0" collapsed="false">
      <c r="A3" s="9" t="n">
        <v>2001</v>
      </c>
      <c r="B3" s="9" t="n">
        <f aca="false">COUNTIFS(Ledger!$D$2:$D$390,$A3,Ledger!$F$2:$F$390,"distribution")</f>
        <v>3</v>
      </c>
      <c r="C3" s="9" t="n">
        <f aca="false">COUNTIFS(Ledger!$D$2:$D$390,$A3,Ledger!$F$2:$F$390,"relief")</f>
        <v>3</v>
      </c>
      <c r="D3" s="9" t="n">
        <f aca="false">COUNTIFS(Ledger!$D$2:$D$390,$A3,Ledger!$F$2:$F$390,"pre-election")</f>
        <v>0</v>
      </c>
      <c r="E3" s="9" t="n">
        <f aca="false">SUM(B3:D3)</f>
        <v>6</v>
      </c>
      <c r="F3" s="9" t="n">
        <f aca="false">COUNTIFS(Ledger!$D$2:$D$390,$A3,Ledger!$H$2:$H$390,"Centre")</f>
        <v>3</v>
      </c>
      <c r="G3" s="9" t="n">
        <f aca="false">COUNTIFS(Ledger!$D$2:$D$390,$A3,Ledger!$H$2:$H$390,"State")</f>
        <v>3</v>
      </c>
      <c r="H3" s="9" t="n">
        <f aca="false">COUNTIFS(Ledger!$D$2:$D$390,$A3,Ledger!$P$2:$P$390,"&lt;&gt;")</f>
        <v>0</v>
      </c>
    </row>
    <row r="4" customFormat="false" ht="15" hidden="false" customHeight="false" outlineLevel="0" collapsed="false">
      <c r="A4" s="9" t="n">
        <v>2002</v>
      </c>
      <c r="B4" s="9" t="n">
        <f aca="false">COUNTIFS(Ledger!$D$2:$D$390,$A4,Ledger!$F$2:$F$390,"distribution")</f>
        <v>4</v>
      </c>
      <c r="C4" s="9" t="n">
        <f aca="false">COUNTIFS(Ledger!$D$2:$D$390,$A4,Ledger!$F$2:$F$390,"relief")</f>
        <v>3</v>
      </c>
      <c r="D4" s="9" t="n">
        <f aca="false">COUNTIFS(Ledger!$D$2:$D$390,$A4,Ledger!$F$2:$F$390,"pre-election")</f>
        <v>0</v>
      </c>
      <c r="E4" s="9" t="n">
        <f aca="false">SUM(B4:D4)</f>
        <v>7</v>
      </c>
      <c r="F4" s="9" t="n">
        <f aca="false">COUNTIFS(Ledger!$D$2:$D$390,$A4,Ledger!$H$2:$H$390,"Centre")</f>
        <v>1</v>
      </c>
      <c r="G4" s="9" t="n">
        <f aca="false">COUNTIFS(Ledger!$D$2:$D$390,$A4,Ledger!$H$2:$H$390,"State")</f>
        <v>6</v>
      </c>
      <c r="H4" s="9" t="n">
        <f aca="false">COUNTIFS(Ledger!$D$2:$D$390,$A4,Ledger!$P$2:$P$390,"&lt;&gt;")</f>
        <v>1</v>
      </c>
    </row>
    <row r="5" customFormat="false" ht="15" hidden="false" customHeight="false" outlineLevel="0" collapsed="false">
      <c r="A5" s="9" t="n">
        <v>2003</v>
      </c>
      <c r="B5" s="9" t="n">
        <f aca="false">COUNTIFS(Ledger!$D$2:$D$390,$A5,Ledger!$F$2:$F$390,"distribution")</f>
        <v>3</v>
      </c>
      <c r="C5" s="9" t="n">
        <f aca="false">COUNTIFS(Ledger!$D$2:$D$390,$A5,Ledger!$F$2:$F$390,"relief")</f>
        <v>2</v>
      </c>
      <c r="D5" s="9" t="n">
        <f aca="false">COUNTIFS(Ledger!$D$2:$D$390,$A5,Ledger!$F$2:$F$390,"pre-election")</f>
        <v>2</v>
      </c>
      <c r="E5" s="9" t="n">
        <f aca="false">SUM(B5:D5)</f>
        <v>7</v>
      </c>
      <c r="F5" s="9" t="n">
        <f aca="false">COUNTIFS(Ledger!$D$2:$D$390,$A5,Ledger!$H$2:$H$390,"Centre")</f>
        <v>3</v>
      </c>
      <c r="G5" s="9" t="n">
        <f aca="false">COUNTIFS(Ledger!$D$2:$D$390,$A5,Ledger!$H$2:$H$390,"State")</f>
        <v>4</v>
      </c>
      <c r="H5" s="9" t="n">
        <f aca="false">COUNTIFS(Ledger!$D$2:$D$390,$A5,Ledger!$P$2:$P$390,"&lt;&gt;")</f>
        <v>2</v>
      </c>
    </row>
    <row r="6" customFormat="false" ht="15" hidden="false" customHeight="false" outlineLevel="0" collapsed="false">
      <c r="A6" s="9" t="n">
        <v>2004</v>
      </c>
      <c r="B6" s="9" t="n">
        <f aca="false">COUNTIFS(Ledger!$D$2:$D$390,$A6,Ledger!$F$2:$F$390,"distribution")</f>
        <v>3</v>
      </c>
      <c r="C6" s="9" t="n">
        <f aca="false">COUNTIFS(Ledger!$D$2:$D$390,$A6,Ledger!$F$2:$F$390,"relief")</f>
        <v>3</v>
      </c>
      <c r="D6" s="9" t="n">
        <f aca="false">COUNTIFS(Ledger!$D$2:$D$390,$A6,Ledger!$F$2:$F$390,"pre-election")</f>
        <v>8</v>
      </c>
      <c r="E6" s="9" t="n">
        <f aca="false">SUM(B6:D6)</f>
        <v>14</v>
      </c>
      <c r="F6" s="9" t="n">
        <f aca="false">COUNTIFS(Ledger!$D$2:$D$390,$A6,Ledger!$H$2:$H$390,"Centre")</f>
        <v>8</v>
      </c>
      <c r="G6" s="9" t="n">
        <f aca="false">COUNTIFS(Ledger!$D$2:$D$390,$A6,Ledger!$H$2:$H$390,"State")</f>
        <v>6</v>
      </c>
      <c r="H6" s="9" t="n">
        <f aca="false">COUNTIFS(Ledger!$D$2:$D$390,$A6,Ledger!$P$2:$P$390,"&lt;&gt;")</f>
        <v>9</v>
      </c>
    </row>
    <row r="7" customFormat="false" ht="15" hidden="false" customHeight="false" outlineLevel="0" collapsed="false">
      <c r="A7" s="9" t="n">
        <v>2005</v>
      </c>
      <c r="B7" s="9" t="n">
        <f aca="false">COUNTIFS(Ledger!$D$2:$D$390,$A7,Ledger!$F$2:$F$390,"distribution")</f>
        <v>3</v>
      </c>
      <c r="C7" s="9" t="n">
        <f aca="false">COUNTIFS(Ledger!$D$2:$D$390,$A7,Ledger!$F$2:$F$390,"relief")</f>
        <v>6</v>
      </c>
      <c r="D7" s="9" t="n">
        <f aca="false">COUNTIFS(Ledger!$D$2:$D$390,$A7,Ledger!$F$2:$F$390,"pre-election")</f>
        <v>1</v>
      </c>
      <c r="E7" s="9" t="n">
        <f aca="false">SUM(B7:D7)</f>
        <v>10</v>
      </c>
      <c r="F7" s="9" t="n">
        <f aca="false">COUNTIFS(Ledger!$D$2:$D$390,$A7,Ledger!$H$2:$H$390,"Centre")</f>
        <v>4</v>
      </c>
      <c r="G7" s="9" t="n">
        <f aca="false">COUNTIFS(Ledger!$D$2:$D$390,$A7,Ledger!$H$2:$H$390,"State")</f>
        <v>6</v>
      </c>
      <c r="H7" s="9" t="n">
        <f aca="false">COUNTIFS(Ledger!$D$2:$D$390,$A7,Ledger!$P$2:$P$390,"&lt;&gt;")</f>
        <v>1</v>
      </c>
    </row>
    <row r="8" customFormat="false" ht="15" hidden="false" customHeight="false" outlineLevel="0" collapsed="false">
      <c r="A8" s="9" t="n">
        <v>2006</v>
      </c>
      <c r="B8" s="9" t="n">
        <f aca="false">COUNTIFS(Ledger!$D$2:$D$390,$A8,Ledger!$F$2:$F$390,"distribution")</f>
        <v>5</v>
      </c>
      <c r="C8" s="9" t="n">
        <f aca="false">COUNTIFS(Ledger!$D$2:$D$390,$A8,Ledger!$F$2:$F$390,"relief")</f>
        <v>1</v>
      </c>
      <c r="D8" s="9" t="n">
        <f aca="false">COUNTIFS(Ledger!$D$2:$D$390,$A8,Ledger!$F$2:$F$390,"pre-election")</f>
        <v>0</v>
      </c>
      <c r="E8" s="9" t="n">
        <f aca="false">SUM(B8:D8)</f>
        <v>6</v>
      </c>
      <c r="F8" s="9" t="n">
        <f aca="false">COUNTIFS(Ledger!$D$2:$D$390,$A8,Ledger!$H$2:$H$390,"Centre")</f>
        <v>1</v>
      </c>
      <c r="G8" s="9" t="n">
        <f aca="false">COUNTIFS(Ledger!$D$2:$D$390,$A8,Ledger!$H$2:$H$390,"State")</f>
        <v>5</v>
      </c>
      <c r="H8" s="9" t="n">
        <f aca="false">COUNTIFS(Ledger!$D$2:$D$390,$A8,Ledger!$P$2:$P$390,"&lt;&gt;")</f>
        <v>0</v>
      </c>
    </row>
    <row r="9" customFormat="false" ht="15" hidden="false" customHeight="false" outlineLevel="0" collapsed="false">
      <c r="A9" s="9" t="n">
        <v>2007</v>
      </c>
      <c r="B9" s="9" t="n">
        <f aca="false">COUNTIFS(Ledger!$D$2:$D$390,$A9,Ledger!$F$2:$F$390,"distribution")</f>
        <v>3</v>
      </c>
      <c r="C9" s="9" t="n">
        <f aca="false">COUNTIFS(Ledger!$D$2:$D$390,$A9,Ledger!$F$2:$F$390,"relief")</f>
        <v>1</v>
      </c>
      <c r="D9" s="9" t="n">
        <f aca="false">COUNTIFS(Ledger!$D$2:$D$390,$A9,Ledger!$F$2:$F$390,"pre-election")</f>
        <v>0</v>
      </c>
      <c r="E9" s="9" t="n">
        <f aca="false">SUM(B9:D9)</f>
        <v>4</v>
      </c>
      <c r="F9" s="9" t="n">
        <f aca="false">COUNTIFS(Ledger!$D$2:$D$390,$A9,Ledger!$H$2:$H$390,"Centre")</f>
        <v>1</v>
      </c>
      <c r="G9" s="9" t="n">
        <f aca="false">COUNTIFS(Ledger!$D$2:$D$390,$A9,Ledger!$H$2:$H$390,"State")</f>
        <v>3</v>
      </c>
      <c r="H9" s="9" t="n">
        <f aca="false">COUNTIFS(Ledger!$D$2:$D$390,$A9,Ledger!$P$2:$P$390,"&lt;&gt;")</f>
        <v>0</v>
      </c>
    </row>
    <row r="10" customFormat="false" ht="15" hidden="false" customHeight="false" outlineLevel="0" collapsed="false">
      <c r="A10" s="9" t="n">
        <v>2008</v>
      </c>
      <c r="B10" s="9" t="n">
        <f aca="false">COUNTIFS(Ledger!$D$2:$D$390,$A10,Ledger!$F$2:$F$390,"distribution")</f>
        <v>1</v>
      </c>
      <c r="C10" s="9" t="n">
        <f aca="false">COUNTIFS(Ledger!$D$2:$D$390,$A10,Ledger!$F$2:$F$390,"relief")</f>
        <v>1</v>
      </c>
      <c r="D10" s="9" t="n">
        <f aca="false">COUNTIFS(Ledger!$D$2:$D$390,$A10,Ledger!$F$2:$F$390,"pre-election")</f>
        <v>11</v>
      </c>
      <c r="E10" s="9" t="n">
        <f aca="false">SUM(B10:D10)</f>
        <v>13</v>
      </c>
      <c r="F10" s="9" t="n">
        <f aca="false">COUNTIFS(Ledger!$D$2:$D$390,$A10,Ledger!$H$2:$H$390,"Centre")</f>
        <v>6</v>
      </c>
      <c r="G10" s="9" t="n">
        <f aca="false">COUNTIFS(Ledger!$D$2:$D$390,$A10,Ledger!$H$2:$H$390,"State")</f>
        <v>7</v>
      </c>
      <c r="H10" s="9" t="n">
        <f aca="false">COUNTIFS(Ledger!$D$2:$D$390,$A10,Ledger!$P$2:$P$390,"&lt;&gt;")</f>
        <v>11</v>
      </c>
    </row>
    <row r="11" customFormat="false" ht="15" hidden="false" customHeight="false" outlineLevel="0" collapsed="false">
      <c r="A11" s="9" t="n">
        <v>2009</v>
      </c>
      <c r="B11" s="9" t="n">
        <f aca="false">COUNTIFS(Ledger!$D$2:$D$390,$A11,Ledger!$F$2:$F$390,"distribution")</f>
        <v>2</v>
      </c>
      <c r="C11" s="9" t="n">
        <f aca="false">COUNTIFS(Ledger!$D$2:$D$390,$A11,Ledger!$F$2:$F$390,"relief")</f>
        <v>4</v>
      </c>
      <c r="D11" s="9" t="n">
        <f aca="false">COUNTIFS(Ledger!$D$2:$D$390,$A11,Ledger!$F$2:$F$390,"pre-election")</f>
        <v>4</v>
      </c>
      <c r="E11" s="9" t="n">
        <f aca="false">SUM(B11:D11)</f>
        <v>10</v>
      </c>
      <c r="F11" s="9" t="n">
        <f aca="false">COUNTIFS(Ledger!$D$2:$D$390,$A11,Ledger!$H$2:$H$390,"Centre")</f>
        <v>3</v>
      </c>
      <c r="G11" s="9" t="n">
        <f aca="false">COUNTIFS(Ledger!$D$2:$D$390,$A11,Ledger!$H$2:$H$390,"State")</f>
        <v>7</v>
      </c>
      <c r="H11" s="9" t="n">
        <f aca="false">COUNTIFS(Ledger!$D$2:$D$390,$A11,Ledger!$P$2:$P$390,"&lt;&gt;")</f>
        <v>4</v>
      </c>
    </row>
    <row r="12" customFormat="false" ht="15" hidden="false" customHeight="false" outlineLevel="0" collapsed="false">
      <c r="A12" s="9" t="n">
        <v>2010</v>
      </c>
      <c r="B12" s="9" t="n">
        <f aca="false">COUNTIFS(Ledger!$D$2:$D$390,$A12,Ledger!$F$2:$F$390,"distribution")</f>
        <v>2</v>
      </c>
      <c r="C12" s="9" t="n">
        <f aca="false">COUNTIFS(Ledger!$D$2:$D$390,$A12,Ledger!$F$2:$F$390,"relief")</f>
        <v>2</v>
      </c>
      <c r="D12" s="9" t="n">
        <f aca="false">COUNTIFS(Ledger!$D$2:$D$390,$A12,Ledger!$F$2:$F$390,"pre-election")</f>
        <v>0</v>
      </c>
      <c r="E12" s="9" t="n">
        <f aca="false">SUM(B12:D12)</f>
        <v>4</v>
      </c>
      <c r="F12" s="9" t="n">
        <f aca="false">COUNTIFS(Ledger!$D$2:$D$390,$A12,Ledger!$H$2:$H$390,"Centre")</f>
        <v>2</v>
      </c>
      <c r="G12" s="9" t="n">
        <f aca="false">COUNTIFS(Ledger!$D$2:$D$390,$A12,Ledger!$H$2:$H$390,"State")</f>
        <v>2</v>
      </c>
      <c r="H12" s="9" t="n">
        <f aca="false">COUNTIFS(Ledger!$D$2:$D$390,$A12,Ledger!$P$2:$P$390,"&lt;&gt;")</f>
        <v>0</v>
      </c>
    </row>
    <row r="13" customFormat="false" ht="15" hidden="false" customHeight="false" outlineLevel="0" collapsed="false">
      <c r="A13" s="9" t="n">
        <v>2011</v>
      </c>
      <c r="B13" s="9" t="n">
        <f aca="false">COUNTIFS(Ledger!$D$2:$D$390,$A13,Ledger!$F$2:$F$390,"distribution")</f>
        <v>5</v>
      </c>
      <c r="C13" s="9" t="n">
        <f aca="false">COUNTIFS(Ledger!$D$2:$D$390,$A13,Ledger!$F$2:$F$390,"relief")</f>
        <v>1</v>
      </c>
      <c r="D13" s="9" t="n">
        <f aca="false">COUNTIFS(Ledger!$D$2:$D$390,$A13,Ledger!$F$2:$F$390,"pre-election")</f>
        <v>3</v>
      </c>
      <c r="E13" s="9" t="n">
        <f aca="false">SUM(B13:D13)</f>
        <v>9</v>
      </c>
      <c r="F13" s="9" t="n">
        <f aca="false">COUNTIFS(Ledger!$D$2:$D$390,$A13,Ledger!$H$2:$H$390,"Centre")</f>
        <v>2</v>
      </c>
      <c r="G13" s="9" t="n">
        <f aca="false">COUNTIFS(Ledger!$D$2:$D$390,$A13,Ledger!$H$2:$H$390,"State")</f>
        <v>7</v>
      </c>
      <c r="H13" s="9" t="n">
        <f aca="false">COUNTIFS(Ledger!$D$2:$D$390,$A13,Ledger!$P$2:$P$390,"&lt;&gt;")</f>
        <v>3</v>
      </c>
    </row>
    <row r="14" customFormat="false" ht="15" hidden="false" customHeight="false" outlineLevel="0" collapsed="false">
      <c r="A14" s="9" t="n">
        <v>2012</v>
      </c>
      <c r="B14" s="9" t="n">
        <f aca="false">COUNTIFS(Ledger!$D$2:$D$390,$A14,Ledger!$F$2:$F$390,"distribution")</f>
        <v>3</v>
      </c>
      <c r="C14" s="9" t="n">
        <f aca="false">COUNTIFS(Ledger!$D$2:$D$390,$A14,Ledger!$F$2:$F$390,"relief")</f>
        <v>3</v>
      </c>
      <c r="D14" s="9" t="n">
        <f aca="false">COUNTIFS(Ledger!$D$2:$D$390,$A14,Ledger!$F$2:$F$390,"pre-election")</f>
        <v>2</v>
      </c>
      <c r="E14" s="9" t="n">
        <f aca="false">SUM(B14:D14)</f>
        <v>8</v>
      </c>
      <c r="F14" s="9" t="n">
        <f aca="false">COUNTIFS(Ledger!$D$2:$D$390,$A14,Ledger!$H$2:$H$390,"Centre")</f>
        <v>2</v>
      </c>
      <c r="G14" s="9" t="n">
        <f aca="false">COUNTIFS(Ledger!$D$2:$D$390,$A14,Ledger!$H$2:$H$390,"State")</f>
        <v>6</v>
      </c>
      <c r="H14" s="9" t="n">
        <f aca="false">COUNTIFS(Ledger!$D$2:$D$390,$A14,Ledger!$P$2:$P$390,"&lt;&gt;")</f>
        <v>2</v>
      </c>
    </row>
    <row r="15" customFormat="false" ht="15" hidden="false" customHeight="false" outlineLevel="0" collapsed="false">
      <c r="A15" s="9" t="n">
        <v>2013</v>
      </c>
      <c r="B15" s="9" t="n">
        <f aca="false">COUNTIFS(Ledger!$D$2:$D$390,$A15,Ledger!$F$2:$F$390,"distribution")</f>
        <v>9</v>
      </c>
      <c r="C15" s="9" t="n">
        <f aca="false">COUNTIFS(Ledger!$D$2:$D$390,$A15,Ledger!$F$2:$F$390,"relief")</f>
        <v>5</v>
      </c>
      <c r="D15" s="9" t="n">
        <f aca="false">COUNTIFS(Ledger!$D$2:$D$390,$A15,Ledger!$F$2:$F$390,"pre-election")</f>
        <v>5</v>
      </c>
      <c r="E15" s="9" t="n">
        <f aca="false">SUM(B15:D15)</f>
        <v>19</v>
      </c>
      <c r="F15" s="9" t="n">
        <f aca="false">COUNTIFS(Ledger!$D$2:$D$390,$A15,Ledger!$H$2:$H$390,"Centre")</f>
        <v>8</v>
      </c>
      <c r="G15" s="9" t="n">
        <f aca="false">COUNTIFS(Ledger!$D$2:$D$390,$A15,Ledger!$H$2:$H$390,"State")</f>
        <v>11</v>
      </c>
      <c r="H15" s="9" t="n">
        <f aca="false">COUNTIFS(Ledger!$D$2:$D$390,$A15,Ledger!$P$2:$P$390,"&lt;&gt;")</f>
        <v>5</v>
      </c>
    </row>
    <row r="16" customFormat="false" ht="15" hidden="false" customHeight="false" outlineLevel="0" collapsed="false">
      <c r="A16" s="9" t="n">
        <v>2014</v>
      </c>
      <c r="B16" s="9" t="n">
        <f aca="false">COUNTIFS(Ledger!$D$2:$D$390,$A16,Ledger!$F$2:$F$390,"distribution")</f>
        <v>6</v>
      </c>
      <c r="C16" s="9" t="n">
        <f aca="false">COUNTIFS(Ledger!$D$2:$D$390,$A16,Ledger!$F$2:$F$390,"relief")</f>
        <v>5</v>
      </c>
      <c r="D16" s="9" t="n">
        <f aca="false">COUNTIFS(Ledger!$D$2:$D$390,$A16,Ledger!$F$2:$F$390,"pre-election")</f>
        <v>4</v>
      </c>
      <c r="E16" s="9" t="n">
        <f aca="false">SUM(B16:D16)</f>
        <v>15</v>
      </c>
      <c r="F16" s="9" t="n">
        <f aca="false">COUNTIFS(Ledger!$D$2:$D$390,$A16,Ledger!$H$2:$H$390,"Centre")</f>
        <v>8</v>
      </c>
      <c r="G16" s="9" t="n">
        <f aca="false">COUNTIFS(Ledger!$D$2:$D$390,$A16,Ledger!$H$2:$H$390,"State")</f>
        <v>7</v>
      </c>
      <c r="H16" s="9" t="n">
        <f aca="false">COUNTIFS(Ledger!$D$2:$D$390,$A16,Ledger!$P$2:$P$390,"&lt;&gt;")</f>
        <v>6</v>
      </c>
    </row>
    <row r="17" customFormat="false" ht="15" hidden="false" customHeight="false" outlineLevel="0" collapsed="false">
      <c r="A17" s="9" t="n">
        <v>2015</v>
      </c>
      <c r="B17" s="9" t="n">
        <f aca="false">COUNTIFS(Ledger!$D$2:$D$390,$A17,Ledger!$F$2:$F$390,"distribution")</f>
        <v>3</v>
      </c>
      <c r="C17" s="9" t="n">
        <f aca="false">COUNTIFS(Ledger!$D$2:$D$390,$A17,Ledger!$F$2:$F$390,"relief")</f>
        <v>4</v>
      </c>
      <c r="D17" s="9" t="n">
        <f aca="false">COUNTIFS(Ledger!$D$2:$D$390,$A17,Ledger!$F$2:$F$390,"pre-election")</f>
        <v>3</v>
      </c>
      <c r="E17" s="9" t="n">
        <f aca="false">SUM(B17:D17)</f>
        <v>10</v>
      </c>
      <c r="F17" s="9" t="n">
        <f aca="false">COUNTIFS(Ledger!$D$2:$D$390,$A17,Ledger!$H$2:$H$390,"Centre")</f>
        <v>5</v>
      </c>
      <c r="G17" s="9" t="n">
        <f aca="false">COUNTIFS(Ledger!$D$2:$D$390,$A17,Ledger!$H$2:$H$390,"State")</f>
        <v>5</v>
      </c>
      <c r="H17" s="9" t="n">
        <f aca="false">COUNTIFS(Ledger!$D$2:$D$390,$A17,Ledger!$P$2:$P$390,"&lt;&gt;")</f>
        <v>3</v>
      </c>
    </row>
    <row r="18" customFormat="false" ht="15" hidden="false" customHeight="false" outlineLevel="0" collapsed="false">
      <c r="A18" s="9" t="n">
        <v>2016</v>
      </c>
      <c r="B18" s="9" t="n">
        <f aca="false">COUNTIFS(Ledger!$D$2:$D$390,$A18,Ledger!$F$2:$F$390,"distribution")</f>
        <v>6</v>
      </c>
      <c r="C18" s="9" t="n">
        <f aca="false">COUNTIFS(Ledger!$D$2:$D$390,$A18,Ledger!$F$2:$F$390,"relief")</f>
        <v>2</v>
      </c>
      <c r="D18" s="9" t="n">
        <f aca="false">COUNTIFS(Ledger!$D$2:$D$390,$A18,Ledger!$F$2:$F$390,"pre-election")</f>
        <v>6</v>
      </c>
      <c r="E18" s="9" t="n">
        <f aca="false">SUM(B18:D18)</f>
        <v>14</v>
      </c>
      <c r="F18" s="9" t="n">
        <f aca="false">COUNTIFS(Ledger!$D$2:$D$390,$A18,Ledger!$H$2:$H$390,"Centre")</f>
        <v>5</v>
      </c>
      <c r="G18" s="9" t="n">
        <f aca="false">COUNTIFS(Ledger!$D$2:$D$390,$A18,Ledger!$H$2:$H$390,"State")</f>
        <v>9</v>
      </c>
      <c r="H18" s="9" t="n">
        <f aca="false">COUNTIFS(Ledger!$D$2:$D$390,$A18,Ledger!$P$2:$P$390,"&lt;&gt;")</f>
        <v>6</v>
      </c>
    </row>
    <row r="19" customFormat="false" ht="15" hidden="false" customHeight="false" outlineLevel="0" collapsed="false">
      <c r="A19" s="9" t="n">
        <v>2017</v>
      </c>
      <c r="B19" s="9" t="n">
        <f aca="false">COUNTIFS(Ledger!$D$2:$D$390,$A19,Ledger!$F$2:$F$390,"distribution")</f>
        <v>2</v>
      </c>
      <c r="C19" s="9" t="n">
        <f aca="false">COUNTIFS(Ledger!$D$2:$D$390,$A19,Ledger!$F$2:$F$390,"relief")</f>
        <v>0</v>
      </c>
      <c r="D19" s="9" t="n">
        <f aca="false">COUNTIFS(Ledger!$D$2:$D$390,$A19,Ledger!$F$2:$F$390,"pre-election")</f>
        <v>5</v>
      </c>
      <c r="E19" s="9" t="n">
        <f aca="false">SUM(B19:D19)</f>
        <v>7</v>
      </c>
      <c r="F19" s="9" t="n">
        <f aca="false">COUNTIFS(Ledger!$D$2:$D$390,$A19,Ledger!$H$2:$H$390,"Centre")</f>
        <v>2</v>
      </c>
      <c r="G19" s="9" t="n">
        <f aca="false">COUNTIFS(Ledger!$D$2:$D$390,$A19,Ledger!$H$2:$H$390,"State")</f>
        <v>5</v>
      </c>
      <c r="H19" s="9" t="n">
        <f aca="false">COUNTIFS(Ledger!$D$2:$D$390,$A19,Ledger!$P$2:$P$390,"&lt;&gt;")</f>
        <v>5</v>
      </c>
    </row>
    <row r="20" customFormat="false" ht="15" hidden="false" customHeight="false" outlineLevel="0" collapsed="false">
      <c r="A20" s="9" t="n">
        <v>2018</v>
      </c>
      <c r="B20" s="9" t="n">
        <f aca="false">COUNTIFS(Ledger!$D$2:$D$390,$A20,Ledger!$F$2:$F$390,"distribution")</f>
        <v>5</v>
      </c>
      <c r="C20" s="9" t="n">
        <f aca="false">COUNTIFS(Ledger!$D$2:$D$390,$A20,Ledger!$F$2:$F$390,"relief")</f>
        <v>4</v>
      </c>
      <c r="D20" s="9" t="n">
        <f aca="false">COUNTIFS(Ledger!$D$2:$D$390,$A20,Ledger!$F$2:$F$390,"pre-election")</f>
        <v>8</v>
      </c>
      <c r="E20" s="9" t="n">
        <f aca="false">SUM(B20:D20)</f>
        <v>17</v>
      </c>
      <c r="F20" s="9" t="n">
        <f aca="false">COUNTIFS(Ledger!$D$2:$D$390,$A20,Ledger!$H$2:$H$390,"Centre")</f>
        <v>4</v>
      </c>
      <c r="G20" s="9" t="n">
        <f aca="false">COUNTIFS(Ledger!$D$2:$D$390,$A20,Ledger!$H$2:$H$390,"State")</f>
        <v>13</v>
      </c>
      <c r="H20" s="9" t="n">
        <f aca="false">COUNTIFS(Ledger!$D$2:$D$390,$A20,Ledger!$P$2:$P$390,"&lt;&gt;")</f>
        <v>8</v>
      </c>
    </row>
    <row r="21" customFormat="false" ht="15" hidden="false" customHeight="false" outlineLevel="0" collapsed="false">
      <c r="A21" s="9" t="n">
        <v>2019</v>
      </c>
      <c r="B21" s="9" t="n">
        <f aca="false">COUNTIFS(Ledger!$D$2:$D$390,$A21,Ledger!$F$2:$F$390,"distribution")</f>
        <v>8</v>
      </c>
      <c r="C21" s="9" t="n">
        <f aca="false">COUNTIFS(Ledger!$D$2:$D$390,$A21,Ledger!$F$2:$F$390,"relief")</f>
        <v>4</v>
      </c>
      <c r="D21" s="9" t="n">
        <f aca="false">COUNTIFS(Ledger!$D$2:$D$390,$A21,Ledger!$F$2:$F$390,"pre-election")</f>
        <v>14</v>
      </c>
      <c r="E21" s="9" t="n">
        <f aca="false">SUM(B21:D21)</f>
        <v>26</v>
      </c>
      <c r="F21" s="9" t="n">
        <f aca="false">COUNTIFS(Ledger!$D$2:$D$390,$A21,Ledger!$H$2:$H$390,"Centre")</f>
        <v>9</v>
      </c>
      <c r="G21" s="9" t="n">
        <f aca="false">COUNTIFS(Ledger!$D$2:$D$390,$A21,Ledger!$H$2:$H$390,"State")</f>
        <v>17</v>
      </c>
      <c r="H21" s="9" t="n">
        <f aca="false">COUNTIFS(Ledger!$D$2:$D$390,$A21,Ledger!$P$2:$P$390,"&lt;&gt;")</f>
        <v>15</v>
      </c>
    </row>
    <row r="22" customFormat="false" ht="15" hidden="false" customHeight="false" outlineLevel="0" collapsed="false">
      <c r="A22" s="9" t="n">
        <v>2020</v>
      </c>
      <c r="B22" s="9" t="n">
        <f aca="false">COUNTIFS(Ledger!$D$2:$D$390,$A22,Ledger!$F$2:$F$390,"distribution")</f>
        <v>5</v>
      </c>
      <c r="C22" s="9" t="n">
        <f aca="false">COUNTIFS(Ledger!$D$2:$D$390,$A22,Ledger!$F$2:$F$390,"relief")</f>
        <v>11</v>
      </c>
      <c r="D22" s="9" t="n">
        <f aca="false">COUNTIFS(Ledger!$D$2:$D$390,$A22,Ledger!$F$2:$F$390,"pre-election")</f>
        <v>7</v>
      </c>
      <c r="E22" s="9" t="n">
        <f aca="false">SUM(B22:D22)</f>
        <v>23</v>
      </c>
      <c r="F22" s="9" t="n">
        <f aca="false">COUNTIFS(Ledger!$D$2:$D$390,$A22,Ledger!$H$2:$H$390,"Centre")</f>
        <v>7</v>
      </c>
      <c r="G22" s="9" t="n">
        <f aca="false">COUNTIFS(Ledger!$D$2:$D$390,$A22,Ledger!$H$2:$H$390,"State")</f>
        <v>16</v>
      </c>
      <c r="H22" s="9" t="n">
        <f aca="false">COUNTIFS(Ledger!$D$2:$D$390,$A22,Ledger!$P$2:$P$390,"&lt;&gt;")</f>
        <v>8</v>
      </c>
    </row>
    <row r="23" customFormat="false" ht="15" hidden="false" customHeight="false" outlineLevel="0" collapsed="false">
      <c r="A23" s="9" t="n">
        <v>2021</v>
      </c>
      <c r="B23" s="9" t="n">
        <f aca="false">COUNTIFS(Ledger!$D$2:$D$390,$A23,Ledger!$F$2:$F$390,"distribution")</f>
        <v>3</v>
      </c>
      <c r="C23" s="9" t="n">
        <f aca="false">COUNTIFS(Ledger!$D$2:$D$390,$A23,Ledger!$F$2:$F$390,"relief")</f>
        <v>8</v>
      </c>
      <c r="D23" s="9" t="n">
        <f aca="false">COUNTIFS(Ledger!$D$2:$D$390,$A23,Ledger!$F$2:$F$390,"pre-election")</f>
        <v>10</v>
      </c>
      <c r="E23" s="9" t="n">
        <f aca="false">SUM(B23:D23)</f>
        <v>21</v>
      </c>
      <c r="F23" s="9" t="n">
        <f aca="false">COUNTIFS(Ledger!$D$2:$D$390,$A23,Ledger!$H$2:$H$390,"Centre")</f>
        <v>8</v>
      </c>
      <c r="G23" s="9" t="n">
        <f aca="false">COUNTIFS(Ledger!$D$2:$D$390,$A23,Ledger!$H$2:$H$390,"State")</f>
        <v>13</v>
      </c>
      <c r="H23" s="9" t="n">
        <f aca="false">COUNTIFS(Ledger!$D$2:$D$390,$A23,Ledger!$P$2:$P$390,"&lt;&gt;")</f>
        <v>10</v>
      </c>
    </row>
    <row r="24" customFormat="false" ht="15" hidden="false" customHeight="false" outlineLevel="0" collapsed="false">
      <c r="A24" s="9" t="n">
        <v>2022</v>
      </c>
      <c r="B24" s="9" t="n">
        <f aca="false">COUNTIFS(Ledger!$D$2:$D$390,$A24,Ledger!$F$2:$F$390,"distribution")</f>
        <v>4</v>
      </c>
      <c r="C24" s="9" t="n">
        <f aca="false">COUNTIFS(Ledger!$D$2:$D$390,$A24,Ledger!$F$2:$F$390,"relief")</f>
        <v>3</v>
      </c>
      <c r="D24" s="9" t="n">
        <f aca="false">COUNTIFS(Ledger!$D$2:$D$390,$A24,Ledger!$F$2:$F$390,"pre-election")</f>
        <v>9</v>
      </c>
      <c r="E24" s="9" t="n">
        <f aca="false">SUM(B24:D24)</f>
        <v>16</v>
      </c>
      <c r="F24" s="9" t="n">
        <f aca="false">COUNTIFS(Ledger!$D$2:$D$390,$A24,Ledger!$H$2:$H$390,"Centre")</f>
        <v>2</v>
      </c>
      <c r="G24" s="9" t="n">
        <f aca="false">COUNTIFS(Ledger!$D$2:$D$390,$A24,Ledger!$H$2:$H$390,"State")</f>
        <v>14</v>
      </c>
      <c r="H24" s="9" t="n">
        <f aca="false">COUNTIFS(Ledger!$D$2:$D$390,$A24,Ledger!$P$2:$P$390,"&lt;&gt;")</f>
        <v>9</v>
      </c>
    </row>
    <row r="25" customFormat="false" ht="15" hidden="false" customHeight="false" outlineLevel="0" collapsed="false">
      <c r="A25" s="9" t="n">
        <v>2023</v>
      </c>
      <c r="B25" s="9" t="n">
        <f aca="false">COUNTIFS(Ledger!$D$2:$D$390,$A25,Ledger!$F$2:$F$390,"distribution")</f>
        <v>14</v>
      </c>
      <c r="C25" s="9" t="n">
        <f aca="false">COUNTIFS(Ledger!$D$2:$D$390,$A25,Ledger!$F$2:$F$390,"relief")</f>
        <v>5</v>
      </c>
      <c r="D25" s="9" t="n">
        <f aca="false">COUNTIFS(Ledger!$D$2:$D$390,$A25,Ledger!$F$2:$F$390,"pre-election")</f>
        <v>15</v>
      </c>
      <c r="E25" s="9" t="n">
        <f aca="false">SUM(B25:D25)</f>
        <v>34</v>
      </c>
      <c r="F25" s="9" t="n">
        <f aca="false">COUNTIFS(Ledger!$D$2:$D$390,$A25,Ledger!$H$2:$H$390,"Centre")</f>
        <v>8</v>
      </c>
      <c r="G25" s="9" t="n">
        <f aca="false">COUNTIFS(Ledger!$D$2:$D$390,$A25,Ledger!$H$2:$H$390,"State")</f>
        <v>26</v>
      </c>
      <c r="H25" s="9" t="n">
        <f aca="false">COUNTIFS(Ledger!$D$2:$D$390,$A25,Ledger!$P$2:$P$390,"&lt;&gt;")</f>
        <v>15</v>
      </c>
    </row>
    <row r="26" customFormat="false" ht="15" hidden="false" customHeight="false" outlineLevel="0" collapsed="false">
      <c r="A26" s="9" t="n">
        <v>2024</v>
      </c>
      <c r="B26" s="9" t="n">
        <f aca="false">COUNTIFS(Ledger!$D$2:$D$390,$A26,Ledger!$F$2:$F$390,"distribution")</f>
        <v>11</v>
      </c>
      <c r="C26" s="9" t="n">
        <f aca="false">COUNTIFS(Ledger!$D$2:$D$390,$A26,Ledger!$F$2:$F$390,"relief")</f>
        <v>4</v>
      </c>
      <c r="D26" s="9" t="n">
        <f aca="false">COUNTIFS(Ledger!$D$2:$D$390,$A26,Ledger!$F$2:$F$390,"pre-election")</f>
        <v>20</v>
      </c>
      <c r="E26" s="9" t="n">
        <f aca="false">SUM(B26:D26)</f>
        <v>35</v>
      </c>
      <c r="F26" s="9" t="n">
        <f aca="false">COUNTIFS(Ledger!$D$2:$D$390,$A26,Ledger!$H$2:$H$390,"Centre")</f>
        <v>10</v>
      </c>
      <c r="G26" s="9" t="n">
        <f aca="false">COUNTIFS(Ledger!$D$2:$D$390,$A26,Ledger!$H$2:$H$390,"State")</f>
        <v>25</v>
      </c>
      <c r="H26" s="9" t="n">
        <f aca="false">COUNTIFS(Ledger!$D$2:$D$390,$A26,Ledger!$P$2:$P$390,"&lt;&gt;")</f>
        <v>20</v>
      </c>
    </row>
    <row r="27" customFormat="false" ht="15" hidden="false" customHeight="false" outlineLevel="0" collapsed="false">
      <c r="A27" s="9" t="n">
        <v>2025</v>
      </c>
      <c r="B27" s="9" t="n">
        <f aca="false">COUNTIFS(Ledger!$D$2:$D$390,$A27,Ledger!$F$2:$F$390,"distribution")</f>
        <v>12</v>
      </c>
      <c r="C27" s="9" t="n">
        <f aca="false">COUNTIFS(Ledger!$D$2:$D$390,$A27,Ledger!$F$2:$F$390,"relief")</f>
        <v>6</v>
      </c>
      <c r="D27" s="9" t="n">
        <f aca="false">COUNTIFS(Ledger!$D$2:$D$390,$A27,Ledger!$F$2:$F$390,"pre-election")</f>
        <v>12</v>
      </c>
      <c r="E27" s="9" t="n">
        <f aca="false">SUM(B27:D27)</f>
        <v>30</v>
      </c>
      <c r="F27" s="9" t="n">
        <f aca="false">COUNTIFS(Ledger!$D$2:$D$390,$A27,Ledger!$H$2:$H$390,"Centre")</f>
        <v>10</v>
      </c>
      <c r="G27" s="9" t="n">
        <f aca="false">COUNTIFS(Ledger!$D$2:$D$390,$A27,Ledger!$H$2:$H$390,"State")</f>
        <v>20</v>
      </c>
      <c r="H27" s="9" t="n">
        <f aca="false">COUNTIFS(Ledger!$D$2:$D$390,$A27,Ledger!$P$2:$P$390,"&lt;&gt;")</f>
        <v>13</v>
      </c>
    </row>
    <row r="28" customFormat="false" ht="15" hidden="false" customHeight="false" outlineLevel="0" collapsed="false">
      <c r="A28" s="9" t="n">
        <v>2026</v>
      </c>
      <c r="B28" s="9" t="n">
        <f aca="false">COUNTIFS(Ledger!$D$2:$D$390,$A28,Ledger!$F$2:$F$390,"distribution")</f>
        <v>10</v>
      </c>
      <c r="C28" s="9" t="n">
        <f aca="false">COUNTIFS(Ledger!$D$2:$D$390,$A28,Ledger!$F$2:$F$390,"relief")</f>
        <v>1</v>
      </c>
      <c r="D28" s="9" t="n">
        <f aca="false">COUNTIFS(Ledger!$D$2:$D$390,$A28,Ledger!$F$2:$F$390,"pre-election")</f>
        <v>7</v>
      </c>
      <c r="E28" s="9" t="n">
        <f aca="false">SUM(B28:D28)</f>
        <v>18</v>
      </c>
      <c r="F28" s="9" t="n">
        <f aca="false">COUNTIFS(Ledger!$D$2:$D$390,$A28,Ledger!$H$2:$H$390,"Centre")</f>
        <v>2</v>
      </c>
      <c r="G28" s="9" t="n">
        <f aca="false">COUNTIFS(Ledger!$D$2:$D$390,$A28,Ledger!$H$2:$H$390,"State")</f>
        <v>16</v>
      </c>
      <c r="H28" s="9" t="n">
        <f aca="false">COUNTIFS(Ledger!$D$2:$D$390,$A28,Ledger!$P$2:$P$390,"&lt;&gt;")</f>
        <v>7</v>
      </c>
    </row>
    <row r="29" customFormat="false" ht="15" hidden="false" customHeight="false" outlineLevel="0" collapsed="false">
      <c r="A29" s="10" t="s">
        <v>4285</v>
      </c>
      <c r="B29" s="10" t="n">
        <f aca="false">SUM(B2:B28)</f>
        <v>137</v>
      </c>
      <c r="C29" s="10" t="n">
        <f aca="false">SUM(C2:C28)</f>
        <v>95</v>
      </c>
      <c r="D29" s="10" t="n">
        <f aca="false">SUM(D2:D28)</f>
        <v>157</v>
      </c>
      <c r="E29" s="10" t="n">
        <f aca="false">SUM(E2:E28)</f>
        <v>389</v>
      </c>
      <c r="F29" s="10" t="n">
        <f aca="false">SUM(F2:F28)</f>
        <v>128</v>
      </c>
      <c r="G29" s="10" t="n">
        <f aca="false">SUM(G2:G28)</f>
        <v>261</v>
      </c>
      <c r="H29" s="10" t="n">
        <f aca="false">SUM(H2:H28)</f>
        <v>164</v>
      </c>
    </row>
    <row r="31" customFormat="false" ht="15" hidden="false" customHeight="false" outlineLevel="0" collapsed="false">
      <c r="A31" s="10" t="s">
        <v>4286</v>
      </c>
      <c r="B31" s="9" t="n">
        <f aca="false">COUNTA(Ledger!$A$2:$A$390)</f>
        <v>389</v>
      </c>
      <c r="C31" s="11" t="s">
        <v>4287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2026-09-26T08:14:37Z</dcterms:created>
  <dc:creator>openpyxl</dc:creator>
  <dc:description/>
  <dc:language>en-US</dc:language>
  <cp:lastModifiedBy/>
  <dcterms:modified xsi:type="dcterms:W3CDTF">2026-09-26T08:14:37Z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